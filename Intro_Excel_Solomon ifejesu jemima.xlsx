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4090E83D-C9AC-47E8-B3A7-08208B9E47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TaxesOwed">Sheet1!$F$2:$F$71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D76" i="1" l="1"/>
  <c r="D75" i="1"/>
  <c r="D74" i="1"/>
  <c r="D73" i="1"/>
  <c r="D72" i="1"/>
  <c r="F3" i="1"/>
  <c r="F4" i="1"/>
  <c r="F7" i="1"/>
  <c r="F8" i="1"/>
  <c r="F11" i="1"/>
  <c r="F12" i="1"/>
  <c r="F15" i="1"/>
  <c r="F16" i="1"/>
  <c r="F19" i="1"/>
  <c r="F20" i="1"/>
  <c r="F23" i="1"/>
  <c r="F24" i="1"/>
  <c r="F27" i="1"/>
  <c r="F28" i="1"/>
  <c r="F31" i="1"/>
  <c r="F32" i="1"/>
  <c r="F35" i="1"/>
  <c r="F36" i="1"/>
  <c r="F39" i="1"/>
  <c r="F40" i="1"/>
  <c r="F43" i="1"/>
  <c r="F44" i="1"/>
  <c r="F47" i="1"/>
  <c r="F48" i="1"/>
  <c r="F51" i="1"/>
  <c r="F52" i="1"/>
  <c r="F55" i="1"/>
  <c r="F56" i="1"/>
  <c r="F59" i="1"/>
  <c r="F60" i="1"/>
  <c r="F63" i="1"/>
  <c r="F64" i="1"/>
  <c r="F67" i="1"/>
  <c r="F68" i="1"/>
  <c r="F71" i="1"/>
  <c r="F2" i="1"/>
  <c r="E15" i="1"/>
  <c r="E16" i="1"/>
  <c r="E17" i="1"/>
  <c r="F17" i="1" s="1"/>
  <c r="E18" i="1"/>
  <c r="F18" i="1" s="1"/>
  <c r="E19" i="1"/>
  <c r="E20" i="1"/>
  <c r="E21" i="1"/>
  <c r="F21" i="1" s="1"/>
  <c r="E22" i="1"/>
  <c r="F22" i="1" s="1"/>
  <c r="E23" i="1"/>
  <c r="E24" i="1"/>
  <c r="E25" i="1"/>
  <c r="F25" i="1" s="1"/>
  <c r="E26" i="1"/>
  <c r="F26" i="1" s="1"/>
  <c r="E27" i="1"/>
  <c r="E28" i="1"/>
  <c r="E29" i="1"/>
  <c r="F29" i="1" s="1"/>
  <c r="E30" i="1"/>
  <c r="F30" i="1" s="1"/>
  <c r="E31" i="1"/>
  <c r="E32" i="1"/>
  <c r="E33" i="1"/>
  <c r="F33" i="1" s="1"/>
  <c r="E34" i="1"/>
  <c r="F34" i="1" s="1"/>
  <c r="E35" i="1"/>
  <c r="E36" i="1"/>
  <c r="E37" i="1"/>
  <c r="F37" i="1" s="1"/>
  <c r="E38" i="1"/>
  <c r="F38" i="1" s="1"/>
  <c r="E39" i="1"/>
  <c r="E40" i="1"/>
  <c r="E41" i="1"/>
  <c r="F41" i="1" s="1"/>
  <c r="E42" i="1"/>
  <c r="F42" i="1" s="1"/>
  <c r="E43" i="1"/>
  <c r="E44" i="1"/>
  <c r="E45" i="1"/>
  <c r="F45" i="1" s="1"/>
  <c r="E46" i="1"/>
  <c r="F46" i="1" s="1"/>
  <c r="E47" i="1"/>
  <c r="E48" i="1"/>
  <c r="E49" i="1"/>
  <c r="F49" i="1" s="1"/>
  <c r="E50" i="1"/>
  <c r="F50" i="1" s="1"/>
  <c r="E51" i="1"/>
  <c r="E52" i="1"/>
  <c r="E53" i="1"/>
  <c r="F53" i="1" s="1"/>
  <c r="E54" i="1"/>
  <c r="F54" i="1" s="1"/>
  <c r="E55" i="1"/>
  <c r="E56" i="1"/>
  <c r="E57" i="1"/>
  <c r="F57" i="1" s="1"/>
  <c r="E58" i="1"/>
  <c r="F58" i="1" s="1"/>
  <c r="E59" i="1"/>
  <c r="E60" i="1"/>
  <c r="E61" i="1"/>
  <c r="F61" i="1" s="1"/>
  <c r="E62" i="1"/>
  <c r="F62" i="1" s="1"/>
  <c r="E63" i="1"/>
  <c r="E64" i="1"/>
  <c r="E65" i="1"/>
  <c r="F65" i="1" s="1"/>
  <c r="E66" i="1"/>
  <c r="F66" i="1" s="1"/>
  <c r="E67" i="1"/>
  <c r="E68" i="1"/>
  <c r="E69" i="1"/>
  <c r="F69" i="1" s="1"/>
  <c r="E70" i="1"/>
  <c r="F70" i="1" s="1"/>
  <c r="E71" i="1"/>
  <c r="E3" i="1"/>
  <c r="E4" i="1"/>
  <c r="E75" i="1" s="1"/>
  <c r="E5" i="1"/>
  <c r="F5" i="1" s="1"/>
  <c r="E6" i="1"/>
  <c r="F6" i="1" s="1"/>
  <c r="E7" i="1"/>
  <c r="E8" i="1"/>
  <c r="E9" i="1"/>
  <c r="F9" i="1" s="1"/>
  <c r="E10" i="1"/>
  <c r="F10" i="1" s="1"/>
  <c r="E11" i="1"/>
  <c r="E12" i="1"/>
  <c r="E13" i="1"/>
  <c r="F13" i="1" s="1"/>
  <c r="E14" i="1"/>
  <c r="F14" i="1" s="1"/>
  <c r="E2" i="1"/>
  <c r="E76" i="1" s="1"/>
  <c r="F76" i="1" l="1"/>
  <c r="E72" i="1"/>
  <c r="F75" i="1"/>
  <c r="F74" i="1"/>
  <c r="F73" i="1"/>
  <c r="E74" i="1"/>
  <c r="F72" i="1"/>
  <c r="E73" i="1"/>
</calcChain>
</file>

<file path=xl/sharedStrings.xml><?xml version="1.0" encoding="utf-8"?>
<sst xmlns="http://schemas.openxmlformats.org/spreadsheetml/2006/main" count="83" uniqueCount="82">
  <si>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</si>
  <si>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</si>
  <si>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</si>
  <si>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</si>
  <si>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</si>
  <si>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</si>
  <si>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</si>
  <si>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James</t>
  </si>
  <si>
    <t>Clifford</t>
  </si>
  <si>
    <t>Mari</t>
  </si>
  <si>
    <t>Andrea</t>
  </si>
  <si>
    <t>Louis</t>
  </si>
  <si>
    <t>Lilly</t>
  </si>
  <si>
    <t>Joshua</t>
  </si>
  <si>
    <t>Samuel</t>
  </si>
  <si>
    <t>Phillip</t>
  </si>
  <si>
    <t>Judah</t>
  </si>
  <si>
    <t>Jude</t>
  </si>
  <si>
    <t>Jayden</t>
  </si>
  <si>
    <t>Totals:</t>
  </si>
  <si>
    <t>Average:</t>
  </si>
  <si>
    <t>Highest:</t>
  </si>
  <si>
    <t>Lowest:</t>
  </si>
  <si>
    <t>Number of Employees:</t>
  </si>
  <si>
    <t>Emp</t>
  </si>
  <si>
    <t>Segun</t>
  </si>
  <si>
    <t>Tobi</t>
  </si>
  <si>
    <t>Amake</t>
  </si>
  <si>
    <t>Sadiat</t>
  </si>
  <si>
    <t>Jemima</t>
  </si>
  <si>
    <t>Ifejesu</t>
  </si>
  <si>
    <t>Oke</t>
  </si>
  <si>
    <t>Simbi</t>
  </si>
  <si>
    <t>Omolola</t>
  </si>
  <si>
    <t>Ojuewe</t>
  </si>
  <si>
    <t>Basit</t>
  </si>
  <si>
    <t>Dorcas</t>
  </si>
  <si>
    <t>Bola</t>
  </si>
  <si>
    <t>Zion</t>
  </si>
  <si>
    <t>Atinuke</t>
  </si>
  <si>
    <t>Wunmi</t>
  </si>
  <si>
    <t>Tolu</t>
  </si>
  <si>
    <t>Jerry</t>
  </si>
  <si>
    <t>Anike</t>
  </si>
  <si>
    <t>Esther</t>
  </si>
  <si>
    <t>Precious</t>
  </si>
  <si>
    <t>Gold</t>
  </si>
  <si>
    <t>Daniel</t>
  </si>
  <si>
    <t>Jemmy</t>
  </si>
  <si>
    <t>Olamide</t>
  </si>
  <si>
    <t>Olajide</t>
  </si>
  <si>
    <t>Adeniyi</t>
  </si>
  <si>
    <t>Abiodun</t>
  </si>
  <si>
    <t>Justina</t>
  </si>
  <si>
    <t>Bamidele</t>
  </si>
  <si>
    <t>Titilayo</t>
  </si>
  <si>
    <t>Pelumi</t>
  </si>
  <si>
    <t>Temi</t>
  </si>
  <si>
    <t>Tope</t>
  </si>
  <si>
    <t>Hannah</t>
  </si>
  <si>
    <t>Ajamu</t>
  </si>
  <si>
    <t>Odun</t>
  </si>
  <si>
    <t>Love</t>
  </si>
  <si>
    <t>Sunday</t>
  </si>
  <si>
    <t>Ayomide</t>
  </si>
  <si>
    <t>Ifeoluwa</t>
  </si>
  <si>
    <t>Edwina</t>
  </si>
  <si>
    <t>Taye</t>
  </si>
  <si>
    <t>Rose</t>
  </si>
  <si>
    <t>Anuoluwa</t>
  </si>
  <si>
    <t>Peter</t>
  </si>
  <si>
    <t>Feyikemi</t>
  </si>
  <si>
    <t>Joy</t>
  </si>
  <si>
    <t>Cook</t>
  </si>
  <si>
    <t>Dele</t>
  </si>
  <si>
    <t>Mima</t>
  </si>
  <si>
    <t>Zoe</t>
  </si>
  <si>
    <t>Ayodeji</t>
  </si>
  <si>
    <t>Wealth</t>
  </si>
  <si>
    <t>Faith</t>
  </si>
  <si>
    <t>Edem</t>
  </si>
  <si>
    <t>Prosper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</si>
</sst>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">
    <xf numFmtId="0" fontId="0" fillId="0" borderId="0" xfId="0" applyFont="1" applyAlignment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44" fontId="1" fillId="0" borderId="0" xfId="0" applyNumberFormat="1" applyFont="1"/>
    <xf numFmtId="0" fontId="2" fillId="0" borderId="0" xfId="0" applyFont="1"/>
    <xf numFmtId="49" fontId="3" fillId="0" borderId="0" xfId="0" applyNumberFormat="1" applyFont="1"/>
    <xf numFmtId="164" fontId="3" fillId="0" borderId="0" xfId="0" applyNumberFormat="1" applyFont="1"/>
    <xf numFmtId="44" fontId="3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/>
    <xf numFmtId="164" fontId="1" fillId="0" borderId="0" xfId="0" applyNumberFormat="1" applyFont="1" applyAlignment="1">
      <alignment horizontal="right"/>
    </xf>
    <xf numFmtId="0" fontId="0" fillId="0" borderId="0" xfId="0" applyFont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 chat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795029629525648E-2"/>
          <c:y val="9.9483388318759608E-2"/>
          <c:w val="0.91659550272462609"/>
          <c:h val="0.674226713983489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Hourly Wage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Tobi</c:v>
                  </c:pt>
                  <c:pt idx="1">
                    <c:v>James</c:v>
                  </c:pt>
                  <c:pt idx="2">
                    <c:v>Amake</c:v>
                  </c:pt>
                  <c:pt idx="3">
                    <c:v>Sadiat</c:v>
                  </c:pt>
                  <c:pt idx="4">
                    <c:v>Jemima</c:v>
                  </c:pt>
                  <c:pt idx="5">
                    <c:v>Ifejesu</c:v>
                  </c:pt>
                  <c:pt idx="6">
                    <c:v>Oke</c:v>
                  </c:pt>
                  <c:pt idx="7">
                    <c:v>Simbi</c:v>
                  </c:pt>
                  <c:pt idx="8">
                    <c:v>Omolola</c:v>
                  </c:pt>
                  <c:pt idx="9">
                    <c:v>Ojuewe</c:v>
                  </c:pt>
                  <c:pt idx="10">
                    <c:v>Segun</c:v>
                  </c:pt>
                  <c:pt idx="11">
                    <c:v>Basit</c:v>
                  </c:pt>
                  <c:pt idx="12">
                    <c:v>Dorcas</c:v>
                  </c:pt>
                  <c:pt idx="13">
                    <c:v>Bola</c:v>
                  </c:pt>
                  <c:pt idx="14">
                    <c:v>Clifford</c:v>
                  </c:pt>
                  <c:pt idx="15">
                    <c:v>Zion</c:v>
                  </c:pt>
                  <c:pt idx="16">
                    <c:v>Atinuke</c:v>
                  </c:pt>
                  <c:pt idx="17">
                    <c:v>Mari</c:v>
                  </c:pt>
                  <c:pt idx="18">
                    <c:v>Wunmi</c:v>
                  </c:pt>
                  <c:pt idx="19">
                    <c:v>Andrea</c:v>
                  </c:pt>
                  <c:pt idx="20">
                    <c:v>Tolu</c:v>
                  </c:pt>
                  <c:pt idx="21">
                    <c:v>Andrea</c:v>
                  </c:pt>
                  <c:pt idx="22">
                    <c:v>Louis</c:v>
                  </c:pt>
                  <c:pt idx="23">
                    <c:v>Jerry</c:v>
                  </c:pt>
                  <c:pt idx="24">
                    <c:v>Anike</c:v>
                  </c:pt>
                  <c:pt idx="25">
                    <c:v>Esther</c:v>
                  </c:pt>
                  <c:pt idx="26">
                    <c:v>Precious</c:v>
                  </c:pt>
                  <c:pt idx="27">
                    <c:v>Gold</c:v>
                  </c:pt>
                  <c:pt idx="28">
                    <c:v>Daniel</c:v>
                  </c:pt>
                  <c:pt idx="29">
                    <c:v>Jemmy</c:v>
                  </c:pt>
                  <c:pt idx="30">
                    <c:v>Lilly</c:v>
                  </c:pt>
                  <c:pt idx="31">
                    <c:v>Olamide</c:v>
                  </c:pt>
                  <c:pt idx="32">
                    <c:v>Joshua</c:v>
                  </c:pt>
                  <c:pt idx="33">
                    <c:v>Olajide</c:v>
                  </c:pt>
                  <c:pt idx="34">
                    <c:v>Adeniyi</c:v>
                  </c:pt>
                  <c:pt idx="35">
                    <c:v>Abiodun</c:v>
                  </c:pt>
                  <c:pt idx="36">
                    <c:v>Justina</c:v>
                  </c:pt>
                  <c:pt idx="37">
                    <c:v>Bamidele</c:v>
                  </c:pt>
                  <c:pt idx="38">
                    <c:v>Titilayo</c:v>
                  </c:pt>
                  <c:pt idx="39">
                    <c:v>Pelumi</c:v>
                  </c:pt>
                  <c:pt idx="40">
                    <c:v>Temi</c:v>
                  </c:pt>
                  <c:pt idx="41">
                    <c:v>Tope</c:v>
                  </c:pt>
                  <c:pt idx="42">
                    <c:v>Samuel</c:v>
                  </c:pt>
                  <c:pt idx="43">
                    <c:v>Hannah</c:v>
                  </c:pt>
                  <c:pt idx="44">
                    <c:v>Ajamu</c:v>
                  </c:pt>
                  <c:pt idx="45">
                    <c:v>Odun</c:v>
                  </c:pt>
                  <c:pt idx="46">
                    <c:v>Love</c:v>
                  </c:pt>
                  <c:pt idx="47">
                    <c:v>Sunday</c:v>
                  </c:pt>
                  <c:pt idx="48">
                    <c:v>Ayomide</c:v>
                  </c:pt>
                  <c:pt idx="49">
                    <c:v>Ifeoluwa</c:v>
                  </c:pt>
                  <c:pt idx="50">
                    <c:v>Phillip</c:v>
                  </c:pt>
                  <c:pt idx="51">
                    <c:v>Edwina</c:v>
                  </c:pt>
                  <c:pt idx="52">
                    <c:v>Judah</c:v>
                  </c:pt>
                  <c:pt idx="53">
                    <c:v>Taye</c:v>
                  </c:pt>
                  <c:pt idx="54">
                    <c:v>Rose</c:v>
                  </c:pt>
                  <c:pt idx="55">
                    <c:v>Anuoluwa</c:v>
                  </c:pt>
                  <c:pt idx="56">
                    <c:v>Jude</c:v>
                  </c:pt>
                  <c:pt idx="57">
                    <c:v>Peter</c:v>
                  </c:pt>
                  <c:pt idx="58">
                    <c:v>Feyikemi</c:v>
                  </c:pt>
                  <c:pt idx="59">
                    <c:v>Joy</c:v>
                  </c:pt>
                  <c:pt idx="60">
                    <c:v>Jayden</c:v>
                  </c:pt>
                  <c:pt idx="61">
                    <c:v>Cook</c:v>
                  </c:pt>
                  <c:pt idx="62">
                    <c:v>Dele</c:v>
                  </c:pt>
                  <c:pt idx="63">
                    <c:v>Mima</c:v>
                  </c:pt>
                  <c:pt idx="64">
                    <c:v>Zoe</c:v>
                  </c:pt>
                  <c:pt idx="65">
                    <c:v>Ayodeji</c:v>
                  </c:pt>
                  <c:pt idx="66">
                    <c:v>Wealth</c:v>
                  </c:pt>
                  <c:pt idx="67">
                    <c:v>Faith</c:v>
                  </c:pt>
                  <c:pt idx="68">
                    <c:v>Edem</c:v>
                  </c:pt>
                  <c:pt idx="69">
                    <c:v>Prosper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15</c:v>
                </c:pt>
                <c:pt idx="1">
                  <c:v>13.5</c:v>
                </c:pt>
                <c:pt idx="2">
                  <c:v>14.4</c:v>
                </c:pt>
                <c:pt idx="3">
                  <c:v>30.4</c:v>
                </c:pt>
                <c:pt idx="4">
                  <c:v>14.4</c:v>
                </c:pt>
                <c:pt idx="5">
                  <c:v>12.5</c:v>
                </c:pt>
                <c:pt idx="6">
                  <c:v>13.75</c:v>
                </c:pt>
                <c:pt idx="7">
                  <c:v>15.5</c:v>
                </c:pt>
                <c:pt idx="8">
                  <c:v>11.75</c:v>
                </c:pt>
                <c:pt idx="9">
                  <c:v>19</c:v>
                </c:pt>
                <c:pt idx="10">
                  <c:v>12</c:v>
                </c:pt>
                <c:pt idx="11">
                  <c:v>14</c:v>
                </c:pt>
                <c:pt idx="12">
                  <c:v>15</c:v>
                </c:pt>
                <c:pt idx="13">
                  <c:v>19.2</c:v>
                </c:pt>
                <c:pt idx="14">
                  <c:v>14</c:v>
                </c:pt>
                <c:pt idx="15">
                  <c:v>13</c:v>
                </c:pt>
                <c:pt idx="16">
                  <c:v>28</c:v>
                </c:pt>
                <c:pt idx="17">
                  <c:v>18</c:v>
                </c:pt>
                <c:pt idx="18">
                  <c:v>13</c:v>
                </c:pt>
                <c:pt idx="19">
                  <c:v>17</c:v>
                </c:pt>
                <c:pt idx="20">
                  <c:v>19.5</c:v>
                </c:pt>
                <c:pt idx="21">
                  <c:v>16</c:v>
                </c:pt>
                <c:pt idx="22">
                  <c:v>17.399999999999999</c:v>
                </c:pt>
                <c:pt idx="23">
                  <c:v>16.37</c:v>
                </c:pt>
                <c:pt idx="24">
                  <c:v>12</c:v>
                </c:pt>
                <c:pt idx="25">
                  <c:v>12</c:v>
                </c:pt>
                <c:pt idx="26">
                  <c:v>16</c:v>
                </c:pt>
                <c:pt idx="27">
                  <c:v>17</c:v>
                </c:pt>
                <c:pt idx="28">
                  <c:v>11</c:v>
                </c:pt>
                <c:pt idx="29">
                  <c:v>18</c:v>
                </c:pt>
                <c:pt idx="30">
                  <c:v>16.5</c:v>
                </c:pt>
                <c:pt idx="31">
                  <c:v>11.5</c:v>
                </c:pt>
                <c:pt idx="32">
                  <c:v>12.3</c:v>
                </c:pt>
                <c:pt idx="33">
                  <c:v>12.5</c:v>
                </c:pt>
                <c:pt idx="34">
                  <c:v>13.7</c:v>
                </c:pt>
                <c:pt idx="35">
                  <c:v>18</c:v>
                </c:pt>
                <c:pt idx="36">
                  <c:v>17</c:v>
                </c:pt>
                <c:pt idx="37">
                  <c:v>14.5</c:v>
                </c:pt>
                <c:pt idx="38">
                  <c:v>13.5</c:v>
                </c:pt>
                <c:pt idx="39">
                  <c:v>11</c:v>
                </c:pt>
                <c:pt idx="40">
                  <c:v>14</c:v>
                </c:pt>
                <c:pt idx="41">
                  <c:v>16</c:v>
                </c:pt>
                <c:pt idx="42">
                  <c:v>17</c:v>
                </c:pt>
                <c:pt idx="43">
                  <c:v>19</c:v>
                </c:pt>
                <c:pt idx="44">
                  <c:v>14</c:v>
                </c:pt>
                <c:pt idx="45">
                  <c:v>16</c:v>
                </c:pt>
                <c:pt idx="46">
                  <c:v>11.75</c:v>
                </c:pt>
                <c:pt idx="47">
                  <c:v>12.65</c:v>
                </c:pt>
                <c:pt idx="48">
                  <c:v>13.8</c:v>
                </c:pt>
                <c:pt idx="49">
                  <c:v>12</c:v>
                </c:pt>
                <c:pt idx="50">
                  <c:v>18</c:v>
                </c:pt>
                <c:pt idx="51">
                  <c:v>16</c:v>
                </c:pt>
                <c:pt idx="52">
                  <c:v>15</c:v>
                </c:pt>
                <c:pt idx="53">
                  <c:v>14.5</c:v>
                </c:pt>
                <c:pt idx="54">
                  <c:v>16</c:v>
                </c:pt>
                <c:pt idx="55">
                  <c:v>14.5</c:v>
                </c:pt>
                <c:pt idx="56">
                  <c:v>16</c:v>
                </c:pt>
                <c:pt idx="57">
                  <c:v>13.35</c:v>
                </c:pt>
                <c:pt idx="58">
                  <c:v>14.43</c:v>
                </c:pt>
                <c:pt idx="59">
                  <c:v>15.5</c:v>
                </c:pt>
                <c:pt idx="60">
                  <c:v>13.25</c:v>
                </c:pt>
                <c:pt idx="61">
                  <c:v>14</c:v>
                </c:pt>
                <c:pt idx="62">
                  <c:v>12</c:v>
                </c:pt>
                <c:pt idx="63">
                  <c:v>11</c:v>
                </c:pt>
                <c:pt idx="64">
                  <c:v>10</c:v>
                </c:pt>
                <c:pt idx="65">
                  <c:v>14</c:v>
                </c:pt>
                <c:pt idx="66">
                  <c:v>15.5</c:v>
                </c:pt>
                <c:pt idx="67">
                  <c:v>13</c:v>
                </c:pt>
                <c:pt idx="68">
                  <c:v>15.5</c:v>
                </c:pt>
                <c:pt idx="69">
                  <c:v>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1-4CAD-AE32-D3E7BF3E5290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Hours Worked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Tobi</c:v>
                  </c:pt>
                  <c:pt idx="1">
                    <c:v>James</c:v>
                  </c:pt>
                  <c:pt idx="2">
                    <c:v>Amake</c:v>
                  </c:pt>
                  <c:pt idx="3">
                    <c:v>Sadiat</c:v>
                  </c:pt>
                  <c:pt idx="4">
                    <c:v>Jemima</c:v>
                  </c:pt>
                  <c:pt idx="5">
                    <c:v>Ifejesu</c:v>
                  </c:pt>
                  <c:pt idx="6">
                    <c:v>Oke</c:v>
                  </c:pt>
                  <c:pt idx="7">
                    <c:v>Simbi</c:v>
                  </c:pt>
                  <c:pt idx="8">
                    <c:v>Omolola</c:v>
                  </c:pt>
                  <c:pt idx="9">
                    <c:v>Ojuewe</c:v>
                  </c:pt>
                  <c:pt idx="10">
                    <c:v>Segun</c:v>
                  </c:pt>
                  <c:pt idx="11">
                    <c:v>Basit</c:v>
                  </c:pt>
                  <c:pt idx="12">
                    <c:v>Dorcas</c:v>
                  </c:pt>
                  <c:pt idx="13">
                    <c:v>Bola</c:v>
                  </c:pt>
                  <c:pt idx="14">
                    <c:v>Clifford</c:v>
                  </c:pt>
                  <c:pt idx="15">
                    <c:v>Zion</c:v>
                  </c:pt>
                  <c:pt idx="16">
                    <c:v>Atinuke</c:v>
                  </c:pt>
                  <c:pt idx="17">
                    <c:v>Mari</c:v>
                  </c:pt>
                  <c:pt idx="18">
                    <c:v>Wunmi</c:v>
                  </c:pt>
                  <c:pt idx="19">
                    <c:v>Andrea</c:v>
                  </c:pt>
                  <c:pt idx="20">
                    <c:v>Tolu</c:v>
                  </c:pt>
                  <c:pt idx="21">
                    <c:v>Andrea</c:v>
                  </c:pt>
                  <c:pt idx="22">
                    <c:v>Louis</c:v>
                  </c:pt>
                  <c:pt idx="23">
                    <c:v>Jerry</c:v>
                  </c:pt>
                  <c:pt idx="24">
                    <c:v>Anike</c:v>
                  </c:pt>
                  <c:pt idx="25">
                    <c:v>Esther</c:v>
                  </c:pt>
                  <c:pt idx="26">
                    <c:v>Precious</c:v>
                  </c:pt>
                  <c:pt idx="27">
                    <c:v>Gold</c:v>
                  </c:pt>
                  <c:pt idx="28">
                    <c:v>Daniel</c:v>
                  </c:pt>
                  <c:pt idx="29">
                    <c:v>Jemmy</c:v>
                  </c:pt>
                  <c:pt idx="30">
                    <c:v>Lilly</c:v>
                  </c:pt>
                  <c:pt idx="31">
                    <c:v>Olamide</c:v>
                  </c:pt>
                  <c:pt idx="32">
                    <c:v>Joshua</c:v>
                  </c:pt>
                  <c:pt idx="33">
                    <c:v>Olajide</c:v>
                  </c:pt>
                  <c:pt idx="34">
                    <c:v>Adeniyi</c:v>
                  </c:pt>
                  <c:pt idx="35">
                    <c:v>Abiodun</c:v>
                  </c:pt>
                  <c:pt idx="36">
                    <c:v>Justina</c:v>
                  </c:pt>
                  <c:pt idx="37">
                    <c:v>Bamidele</c:v>
                  </c:pt>
                  <c:pt idx="38">
                    <c:v>Titilayo</c:v>
                  </c:pt>
                  <c:pt idx="39">
                    <c:v>Pelumi</c:v>
                  </c:pt>
                  <c:pt idx="40">
                    <c:v>Temi</c:v>
                  </c:pt>
                  <c:pt idx="41">
                    <c:v>Tope</c:v>
                  </c:pt>
                  <c:pt idx="42">
                    <c:v>Samuel</c:v>
                  </c:pt>
                  <c:pt idx="43">
                    <c:v>Hannah</c:v>
                  </c:pt>
                  <c:pt idx="44">
                    <c:v>Ajamu</c:v>
                  </c:pt>
                  <c:pt idx="45">
                    <c:v>Odun</c:v>
                  </c:pt>
                  <c:pt idx="46">
                    <c:v>Love</c:v>
                  </c:pt>
                  <c:pt idx="47">
                    <c:v>Sunday</c:v>
                  </c:pt>
                  <c:pt idx="48">
                    <c:v>Ayomide</c:v>
                  </c:pt>
                  <c:pt idx="49">
                    <c:v>Ifeoluwa</c:v>
                  </c:pt>
                  <c:pt idx="50">
                    <c:v>Phillip</c:v>
                  </c:pt>
                  <c:pt idx="51">
                    <c:v>Edwina</c:v>
                  </c:pt>
                  <c:pt idx="52">
                    <c:v>Judah</c:v>
                  </c:pt>
                  <c:pt idx="53">
                    <c:v>Taye</c:v>
                  </c:pt>
                  <c:pt idx="54">
                    <c:v>Rose</c:v>
                  </c:pt>
                  <c:pt idx="55">
                    <c:v>Anuoluwa</c:v>
                  </c:pt>
                  <c:pt idx="56">
                    <c:v>Jude</c:v>
                  </c:pt>
                  <c:pt idx="57">
                    <c:v>Peter</c:v>
                  </c:pt>
                  <c:pt idx="58">
                    <c:v>Feyikemi</c:v>
                  </c:pt>
                  <c:pt idx="59">
                    <c:v>Joy</c:v>
                  </c:pt>
                  <c:pt idx="60">
                    <c:v>Jayden</c:v>
                  </c:pt>
                  <c:pt idx="61">
                    <c:v>Cook</c:v>
                  </c:pt>
                  <c:pt idx="62">
                    <c:v>Dele</c:v>
                  </c:pt>
                  <c:pt idx="63">
                    <c:v>Mima</c:v>
                  </c:pt>
                  <c:pt idx="64">
                    <c:v>Zoe</c:v>
                  </c:pt>
                  <c:pt idx="65">
                    <c:v>Ayodeji</c:v>
                  </c:pt>
                  <c:pt idx="66">
                    <c:v>Wealth</c:v>
                  </c:pt>
                  <c:pt idx="67">
                    <c:v>Faith</c:v>
                  </c:pt>
                  <c:pt idx="68">
                    <c:v>Edem</c:v>
                  </c:pt>
                  <c:pt idx="69">
                    <c:v>Prosper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30</c:v>
                </c:pt>
                <c:pt idx="1">
                  <c:v>132</c:v>
                </c:pt>
                <c:pt idx="2">
                  <c:v>143</c:v>
                </c:pt>
                <c:pt idx="3">
                  <c:v>145</c:v>
                </c:pt>
                <c:pt idx="4">
                  <c:v>56</c:v>
                </c:pt>
                <c:pt idx="5">
                  <c:v>57</c:v>
                </c:pt>
                <c:pt idx="6">
                  <c:v>82</c:v>
                </c:pt>
                <c:pt idx="7">
                  <c:v>29</c:v>
                </c:pt>
                <c:pt idx="8">
                  <c:v>188</c:v>
                </c:pt>
                <c:pt idx="9">
                  <c:v>144</c:v>
                </c:pt>
                <c:pt idx="10">
                  <c:v>133</c:v>
                </c:pt>
                <c:pt idx="11">
                  <c:v>166</c:v>
                </c:pt>
                <c:pt idx="12">
                  <c:v>176</c:v>
                </c:pt>
                <c:pt idx="13">
                  <c:v>154</c:v>
                </c:pt>
                <c:pt idx="14">
                  <c:v>122</c:v>
                </c:pt>
                <c:pt idx="15">
                  <c:v>141</c:v>
                </c:pt>
                <c:pt idx="16">
                  <c:v>156</c:v>
                </c:pt>
                <c:pt idx="17">
                  <c:v>132</c:v>
                </c:pt>
                <c:pt idx="18">
                  <c:v>67</c:v>
                </c:pt>
                <c:pt idx="19">
                  <c:v>87</c:v>
                </c:pt>
                <c:pt idx="20">
                  <c:v>155</c:v>
                </c:pt>
                <c:pt idx="21">
                  <c:v>145</c:v>
                </c:pt>
                <c:pt idx="22">
                  <c:v>164</c:v>
                </c:pt>
                <c:pt idx="23">
                  <c:v>143</c:v>
                </c:pt>
                <c:pt idx="24">
                  <c:v>123</c:v>
                </c:pt>
                <c:pt idx="25">
                  <c:v>127</c:v>
                </c:pt>
                <c:pt idx="26">
                  <c:v>67</c:v>
                </c:pt>
                <c:pt idx="27">
                  <c:v>156</c:v>
                </c:pt>
                <c:pt idx="28">
                  <c:v>145</c:v>
                </c:pt>
                <c:pt idx="29">
                  <c:v>172</c:v>
                </c:pt>
                <c:pt idx="30">
                  <c:v>189</c:v>
                </c:pt>
                <c:pt idx="31">
                  <c:v>176</c:v>
                </c:pt>
                <c:pt idx="32">
                  <c:v>95</c:v>
                </c:pt>
                <c:pt idx="33">
                  <c:v>166</c:v>
                </c:pt>
                <c:pt idx="34">
                  <c:v>188</c:v>
                </c:pt>
                <c:pt idx="35">
                  <c:v>189</c:v>
                </c:pt>
                <c:pt idx="36">
                  <c:v>144</c:v>
                </c:pt>
                <c:pt idx="37">
                  <c:v>156</c:v>
                </c:pt>
                <c:pt idx="38">
                  <c:v>143</c:v>
                </c:pt>
                <c:pt idx="39">
                  <c:v>173</c:v>
                </c:pt>
                <c:pt idx="40">
                  <c:v>152</c:v>
                </c:pt>
                <c:pt idx="41">
                  <c:v>153</c:v>
                </c:pt>
                <c:pt idx="42">
                  <c:v>123</c:v>
                </c:pt>
                <c:pt idx="43">
                  <c:v>127</c:v>
                </c:pt>
                <c:pt idx="44">
                  <c:v>74</c:v>
                </c:pt>
                <c:pt idx="45">
                  <c:v>93</c:v>
                </c:pt>
                <c:pt idx="46">
                  <c:v>73</c:v>
                </c:pt>
                <c:pt idx="47">
                  <c:v>111</c:v>
                </c:pt>
                <c:pt idx="48">
                  <c:v>175</c:v>
                </c:pt>
                <c:pt idx="49">
                  <c:v>205</c:v>
                </c:pt>
                <c:pt idx="50">
                  <c:v>143</c:v>
                </c:pt>
                <c:pt idx="51">
                  <c:v>210</c:v>
                </c:pt>
                <c:pt idx="52">
                  <c:v>167</c:v>
                </c:pt>
                <c:pt idx="53">
                  <c:v>189</c:v>
                </c:pt>
                <c:pt idx="54">
                  <c:v>190</c:v>
                </c:pt>
                <c:pt idx="55">
                  <c:v>174</c:v>
                </c:pt>
                <c:pt idx="56">
                  <c:v>199</c:v>
                </c:pt>
                <c:pt idx="57">
                  <c:v>200</c:v>
                </c:pt>
                <c:pt idx="58">
                  <c:v>166</c:v>
                </c:pt>
                <c:pt idx="59">
                  <c:v>173</c:v>
                </c:pt>
                <c:pt idx="60">
                  <c:v>182</c:v>
                </c:pt>
                <c:pt idx="61">
                  <c:v>192</c:v>
                </c:pt>
                <c:pt idx="62">
                  <c:v>181</c:v>
                </c:pt>
                <c:pt idx="63">
                  <c:v>141</c:v>
                </c:pt>
                <c:pt idx="64">
                  <c:v>153</c:v>
                </c:pt>
                <c:pt idx="65">
                  <c:v>162</c:v>
                </c:pt>
                <c:pt idx="66">
                  <c:v>173</c:v>
                </c:pt>
                <c:pt idx="67">
                  <c:v>147</c:v>
                </c:pt>
                <c:pt idx="68">
                  <c:v>184</c:v>
                </c:pt>
                <c:pt idx="69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D1-4CAD-AE32-D3E7BF3E5290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 Taxable Income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Tobi</c:v>
                  </c:pt>
                  <c:pt idx="1">
                    <c:v>James</c:v>
                  </c:pt>
                  <c:pt idx="2">
                    <c:v>Amake</c:v>
                  </c:pt>
                  <c:pt idx="3">
                    <c:v>Sadiat</c:v>
                  </c:pt>
                  <c:pt idx="4">
                    <c:v>Jemima</c:v>
                  </c:pt>
                  <c:pt idx="5">
                    <c:v>Ifejesu</c:v>
                  </c:pt>
                  <c:pt idx="6">
                    <c:v>Oke</c:v>
                  </c:pt>
                  <c:pt idx="7">
                    <c:v>Simbi</c:v>
                  </c:pt>
                  <c:pt idx="8">
                    <c:v>Omolola</c:v>
                  </c:pt>
                  <c:pt idx="9">
                    <c:v>Ojuewe</c:v>
                  </c:pt>
                  <c:pt idx="10">
                    <c:v>Segun</c:v>
                  </c:pt>
                  <c:pt idx="11">
                    <c:v>Basit</c:v>
                  </c:pt>
                  <c:pt idx="12">
                    <c:v>Dorcas</c:v>
                  </c:pt>
                  <c:pt idx="13">
                    <c:v>Bola</c:v>
                  </c:pt>
                  <c:pt idx="14">
                    <c:v>Clifford</c:v>
                  </c:pt>
                  <c:pt idx="15">
                    <c:v>Zion</c:v>
                  </c:pt>
                  <c:pt idx="16">
                    <c:v>Atinuke</c:v>
                  </c:pt>
                  <c:pt idx="17">
                    <c:v>Mari</c:v>
                  </c:pt>
                  <c:pt idx="18">
                    <c:v>Wunmi</c:v>
                  </c:pt>
                  <c:pt idx="19">
                    <c:v>Andrea</c:v>
                  </c:pt>
                  <c:pt idx="20">
                    <c:v>Tolu</c:v>
                  </c:pt>
                  <c:pt idx="21">
                    <c:v>Andrea</c:v>
                  </c:pt>
                  <c:pt idx="22">
                    <c:v>Louis</c:v>
                  </c:pt>
                  <c:pt idx="23">
                    <c:v>Jerry</c:v>
                  </c:pt>
                  <c:pt idx="24">
                    <c:v>Anike</c:v>
                  </c:pt>
                  <c:pt idx="25">
                    <c:v>Esther</c:v>
                  </c:pt>
                  <c:pt idx="26">
                    <c:v>Precious</c:v>
                  </c:pt>
                  <c:pt idx="27">
                    <c:v>Gold</c:v>
                  </c:pt>
                  <c:pt idx="28">
                    <c:v>Daniel</c:v>
                  </c:pt>
                  <c:pt idx="29">
                    <c:v>Jemmy</c:v>
                  </c:pt>
                  <c:pt idx="30">
                    <c:v>Lilly</c:v>
                  </c:pt>
                  <c:pt idx="31">
                    <c:v>Olamide</c:v>
                  </c:pt>
                  <c:pt idx="32">
                    <c:v>Joshua</c:v>
                  </c:pt>
                  <c:pt idx="33">
                    <c:v>Olajide</c:v>
                  </c:pt>
                  <c:pt idx="34">
                    <c:v>Adeniyi</c:v>
                  </c:pt>
                  <c:pt idx="35">
                    <c:v>Abiodun</c:v>
                  </c:pt>
                  <c:pt idx="36">
                    <c:v>Justina</c:v>
                  </c:pt>
                  <c:pt idx="37">
                    <c:v>Bamidele</c:v>
                  </c:pt>
                  <c:pt idx="38">
                    <c:v>Titilayo</c:v>
                  </c:pt>
                  <c:pt idx="39">
                    <c:v>Pelumi</c:v>
                  </c:pt>
                  <c:pt idx="40">
                    <c:v>Temi</c:v>
                  </c:pt>
                  <c:pt idx="41">
                    <c:v>Tope</c:v>
                  </c:pt>
                  <c:pt idx="42">
                    <c:v>Samuel</c:v>
                  </c:pt>
                  <c:pt idx="43">
                    <c:v>Hannah</c:v>
                  </c:pt>
                  <c:pt idx="44">
                    <c:v>Ajamu</c:v>
                  </c:pt>
                  <c:pt idx="45">
                    <c:v>Odun</c:v>
                  </c:pt>
                  <c:pt idx="46">
                    <c:v>Love</c:v>
                  </c:pt>
                  <c:pt idx="47">
                    <c:v>Sunday</c:v>
                  </c:pt>
                  <c:pt idx="48">
                    <c:v>Ayomide</c:v>
                  </c:pt>
                  <c:pt idx="49">
                    <c:v>Ifeoluwa</c:v>
                  </c:pt>
                  <c:pt idx="50">
                    <c:v>Phillip</c:v>
                  </c:pt>
                  <c:pt idx="51">
                    <c:v>Edwina</c:v>
                  </c:pt>
                  <c:pt idx="52">
                    <c:v>Judah</c:v>
                  </c:pt>
                  <c:pt idx="53">
                    <c:v>Taye</c:v>
                  </c:pt>
                  <c:pt idx="54">
                    <c:v>Rose</c:v>
                  </c:pt>
                  <c:pt idx="55">
                    <c:v>Anuoluwa</c:v>
                  </c:pt>
                  <c:pt idx="56">
                    <c:v>Jude</c:v>
                  </c:pt>
                  <c:pt idx="57">
                    <c:v>Peter</c:v>
                  </c:pt>
                  <c:pt idx="58">
                    <c:v>Feyikemi</c:v>
                  </c:pt>
                  <c:pt idx="59">
                    <c:v>Joy</c:v>
                  </c:pt>
                  <c:pt idx="60">
                    <c:v>Jayden</c:v>
                  </c:pt>
                  <c:pt idx="61">
                    <c:v>Cook</c:v>
                  </c:pt>
                  <c:pt idx="62">
                    <c:v>Dele</c:v>
                  </c:pt>
                  <c:pt idx="63">
                    <c:v>Mima</c:v>
                  </c:pt>
                  <c:pt idx="64">
                    <c:v>Zoe</c:v>
                  </c:pt>
                  <c:pt idx="65">
                    <c:v>Ayodeji</c:v>
                  </c:pt>
                  <c:pt idx="66">
                    <c:v>Wealth</c:v>
                  </c:pt>
                  <c:pt idx="67">
                    <c:v>Faith</c:v>
                  </c:pt>
                  <c:pt idx="68">
                    <c:v>Edem</c:v>
                  </c:pt>
                  <c:pt idx="69">
                    <c:v>Prosper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450</c:v>
                </c:pt>
                <c:pt idx="1">
                  <c:v>1782</c:v>
                </c:pt>
                <c:pt idx="2">
                  <c:v>2059.2000000000003</c:v>
                </c:pt>
                <c:pt idx="3">
                  <c:v>4408</c:v>
                </c:pt>
                <c:pt idx="4">
                  <c:v>806.4</c:v>
                </c:pt>
                <c:pt idx="5">
                  <c:v>712.5</c:v>
                </c:pt>
                <c:pt idx="6">
                  <c:v>1127.5</c:v>
                </c:pt>
                <c:pt idx="7">
                  <c:v>449.5</c:v>
                </c:pt>
                <c:pt idx="8">
                  <c:v>2209</c:v>
                </c:pt>
                <c:pt idx="9">
                  <c:v>2736</c:v>
                </c:pt>
                <c:pt idx="10">
                  <c:v>1596</c:v>
                </c:pt>
                <c:pt idx="11">
                  <c:v>2324</c:v>
                </c:pt>
                <c:pt idx="12">
                  <c:v>2640</c:v>
                </c:pt>
                <c:pt idx="13">
                  <c:v>2956.7999999999997</c:v>
                </c:pt>
                <c:pt idx="14">
                  <c:v>1708</c:v>
                </c:pt>
                <c:pt idx="15">
                  <c:v>1833</c:v>
                </c:pt>
                <c:pt idx="16">
                  <c:v>4368</c:v>
                </c:pt>
                <c:pt idx="17">
                  <c:v>2376</c:v>
                </c:pt>
                <c:pt idx="18">
                  <c:v>871</c:v>
                </c:pt>
                <c:pt idx="19">
                  <c:v>1479</c:v>
                </c:pt>
                <c:pt idx="20">
                  <c:v>3022.5</c:v>
                </c:pt>
                <c:pt idx="21">
                  <c:v>2320</c:v>
                </c:pt>
                <c:pt idx="22">
                  <c:v>2853.6</c:v>
                </c:pt>
                <c:pt idx="23">
                  <c:v>2340.9100000000003</c:v>
                </c:pt>
                <c:pt idx="24">
                  <c:v>1476</c:v>
                </c:pt>
                <c:pt idx="25">
                  <c:v>1524</c:v>
                </c:pt>
                <c:pt idx="26">
                  <c:v>1072</c:v>
                </c:pt>
                <c:pt idx="27">
                  <c:v>2652</c:v>
                </c:pt>
                <c:pt idx="28">
                  <c:v>1595</c:v>
                </c:pt>
                <c:pt idx="29">
                  <c:v>3096</c:v>
                </c:pt>
                <c:pt idx="30">
                  <c:v>3118.5</c:v>
                </c:pt>
                <c:pt idx="31">
                  <c:v>2024</c:v>
                </c:pt>
                <c:pt idx="32">
                  <c:v>1168.5</c:v>
                </c:pt>
                <c:pt idx="33">
                  <c:v>2075</c:v>
                </c:pt>
                <c:pt idx="34">
                  <c:v>2575.6</c:v>
                </c:pt>
                <c:pt idx="35">
                  <c:v>3402</c:v>
                </c:pt>
                <c:pt idx="36">
                  <c:v>2448</c:v>
                </c:pt>
                <c:pt idx="37">
                  <c:v>2262</c:v>
                </c:pt>
                <c:pt idx="38">
                  <c:v>1930.5</c:v>
                </c:pt>
                <c:pt idx="39">
                  <c:v>1903</c:v>
                </c:pt>
                <c:pt idx="40">
                  <c:v>2128</c:v>
                </c:pt>
                <c:pt idx="41">
                  <c:v>2448</c:v>
                </c:pt>
                <c:pt idx="42">
                  <c:v>2091</c:v>
                </c:pt>
                <c:pt idx="43">
                  <c:v>2413</c:v>
                </c:pt>
                <c:pt idx="44">
                  <c:v>1036</c:v>
                </c:pt>
                <c:pt idx="45">
                  <c:v>1488</c:v>
                </c:pt>
                <c:pt idx="46">
                  <c:v>857.75</c:v>
                </c:pt>
                <c:pt idx="47">
                  <c:v>1404.15</c:v>
                </c:pt>
                <c:pt idx="48">
                  <c:v>2415</c:v>
                </c:pt>
                <c:pt idx="49">
                  <c:v>2460</c:v>
                </c:pt>
                <c:pt idx="50">
                  <c:v>2574</c:v>
                </c:pt>
                <c:pt idx="51">
                  <c:v>3360</c:v>
                </c:pt>
                <c:pt idx="52">
                  <c:v>2505</c:v>
                </c:pt>
                <c:pt idx="53">
                  <c:v>2740.5</c:v>
                </c:pt>
                <c:pt idx="54">
                  <c:v>3040</c:v>
                </c:pt>
                <c:pt idx="55">
                  <c:v>2523</c:v>
                </c:pt>
                <c:pt idx="56">
                  <c:v>3184</c:v>
                </c:pt>
                <c:pt idx="57">
                  <c:v>2670</c:v>
                </c:pt>
                <c:pt idx="58">
                  <c:v>2395.38</c:v>
                </c:pt>
                <c:pt idx="59">
                  <c:v>2681.5</c:v>
                </c:pt>
                <c:pt idx="60">
                  <c:v>2411.5</c:v>
                </c:pt>
                <c:pt idx="61">
                  <c:v>2688</c:v>
                </c:pt>
                <c:pt idx="62">
                  <c:v>2172</c:v>
                </c:pt>
                <c:pt idx="63">
                  <c:v>1551</c:v>
                </c:pt>
                <c:pt idx="64">
                  <c:v>1530</c:v>
                </c:pt>
                <c:pt idx="65">
                  <c:v>2268</c:v>
                </c:pt>
                <c:pt idx="66">
                  <c:v>2681.5</c:v>
                </c:pt>
                <c:pt idx="67">
                  <c:v>1911</c:v>
                </c:pt>
                <c:pt idx="68">
                  <c:v>2852</c:v>
                </c:pt>
                <c:pt idx="69">
                  <c:v>2689.5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D1-4CAD-AE32-D3E7BF3E5290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 Taxes to Be Paid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Tobi</c:v>
                  </c:pt>
                  <c:pt idx="1">
                    <c:v>James</c:v>
                  </c:pt>
                  <c:pt idx="2">
                    <c:v>Amake</c:v>
                  </c:pt>
                  <c:pt idx="3">
                    <c:v>Sadiat</c:v>
                  </c:pt>
                  <c:pt idx="4">
                    <c:v>Jemima</c:v>
                  </c:pt>
                  <c:pt idx="5">
                    <c:v>Ifejesu</c:v>
                  </c:pt>
                  <c:pt idx="6">
                    <c:v>Oke</c:v>
                  </c:pt>
                  <c:pt idx="7">
                    <c:v>Simbi</c:v>
                  </c:pt>
                  <c:pt idx="8">
                    <c:v>Omolola</c:v>
                  </c:pt>
                  <c:pt idx="9">
                    <c:v>Ojuewe</c:v>
                  </c:pt>
                  <c:pt idx="10">
                    <c:v>Segun</c:v>
                  </c:pt>
                  <c:pt idx="11">
                    <c:v>Basit</c:v>
                  </c:pt>
                  <c:pt idx="12">
                    <c:v>Dorcas</c:v>
                  </c:pt>
                  <c:pt idx="13">
                    <c:v>Bola</c:v>
                  </c:pt>
                  <c:pt idx="14">
                    <c:v>Clifford</c:v>
                  </c:pt>
                  <c:pt idx="15">
                    <c:v>Zion</c:v>
                  </c:pt>
                  <c:pt idx="16">
                    <c:v>Atinuke</c:v>
                  </c:pt>
                  <c:pt idx="17">
                    <c:v>Mari</c:v>
                  </c:pt>
                  <c:pt idx="18">
                    <c:v>Wunmi</c:v>
                  </c:pt>
                  <c:pt idx="19">
                    <c:v>Andrea</c:v>
                  </c:pt>
                  <c:pt idx="20">
                    <c:v>Tolu</c:v>
                  </c:pt>
                  <c:pt idx="21">
                    <c:v>Andrea</c:v>
                  </c:pt>
                  <c:pt idx="22">
                    <c:v>Louis</c:v>
                  </c:pt>
                  <c:pt idx="23">
                    <c:v>Jerry</c:v>
                  </c:pt>
                  <c:pt idx="24">
                    <c:v>Anike</c:v>
                  </c:pt>
                  <c:pt idx="25">
                    <c:v>Esther</c:v>
                  </c:pt>
                  <c:pt idx="26">
                    <c:v>Precious</c:v>
                  </c:pt>
                  <c:pt idx="27">
                    <c:v>Gold</c:v>
                  </c:pt>
                  <c:pt idx="28">
                    <c:v>Daniel</c:v>
                  </c:pt>
                  <c:pt idx="29">
                    <c:v>Jemmy</c:v>
                  </c:pt>
                  <c:pt idx="30">
                    <c:v>Lilly</c:v>
                  </c:pt>
                  <c:pt idx="31">
                    <c:v>Olamide</c:v>
                  </c:pt>
                  <c:pt idx="32">
                    <c:v>Joshua</c:v>
                  </c:pt>
                  <c:pt idx="33">
                    <c:v>Olajide</c:v>
                  </c:pt>
                  <c:pt idx="34">
                    <c:v>Adeniyi</c:v>
                  </c:pt>
                  <c:pt idx="35">
                    <c:v>Abiodun</c:v>
                  </c:pt>
                  <c:pt idx="36">
                    <c:v>Justina</c:v>
                  </c:pt>
                  <c:pt idx="37">
                    <c:v>Bamidele</c:v>
                  </c:pt>
                  <c:pt idx="38">
                    <c:v>Titilayo</c:v>
                  </c:pt>
                  <c:pt idx="39">
                    <c:v>Pelumi</c:v>
                  </c:pt>
                  <c:pt idx="40">
                    <c:v>Temi</c:v>
                  </c:pt>
                  <c:pt idx="41">
                    <c:v>Tope</c:v>
                  </c:pt>
                  <c:pt idx="42">
                    <c:v>Samuel</c:v>
                  </c:pt>
                  <c:pt idx="43">
                    <c:v>Hannah</c:v>
                  </c:pt>
                  <c:pt idx="44">
                    <c:v>Ajamu</c:v>
                  </c:pt>
                  <c:pt idx="45">
                    <c:v>Odun</c:v>
                  </c:pt>
                  <c:pt idx="46">
                    <c:v>Love</c:v>
                  </c:pt>
                  <c:pt idx="47">
                    <c:v>Sunday</c:v>
                  </c:pt>
                  <c:pt idx="48">
                    <c:v>Ayomide</c:v>
                  </c:pt>
                  <c:pt idx="49">
                    <c:v>Ifeoluwa</c:v>
                  </c:pt>
                  <c:pt idx="50">
                    <c:v>Phillip</c:v>
                  </c:pt>
                  <c:pt idx="51">
                    <c:v>Edwina</c:v>
                  </c:pt>
                  <c:pt idx="52">
                    <c:v>Judah</c:v>
                  </c:pt>
                  <c:pt idx="53">
                    <c:v>Taye</c:v>
                  </c:pt>
                  <c:pt idx="54">
                    <c:v>Rose</c:v>
                  </c:pt>
                  <c:pt idx="55">
                    <c:v>Anuoluwa</c:v>
                  </c:pt>
                  <c:pt idx="56">
                    <c:v>Jude</c:v>
                  </c:pt>
                  <c:pt idx="57">
                    <c:v>Peter</c:v>
                  </c:pt>
                  <c:pt idx="58">
                    <c:v>Feyikemi</c:v>
                  </c:pt>
                  <c:pt idx="59">
                    <c:v>Joy</c:v>
                  </c:pt>
                  <c:pt idx="60">
                    <c:v>Jayden</c:v>
                  </c:pt>
                  <c:pt idx="61">
                    <c:v>Cook</c:v>
                  </c:pt>
                  <c:pt idx="62">
                    <c:v>Dele</c:v>
                  </c:pt>
                  <c:pt idx="63">
                    <c:v>Mima</c:v>
                  </c:pt>
                  <c:pt idx="64">
                    <c:v>Zoe</c:v>
                  </c:pt>
                  <c:pt idx="65">
                    <c:v>Ayodeji</c:v>
                  </c:pt>
                  <c:pt idx="66">
                    <c:v>Wealth</c:v>
                  </c:pt>
                  <c:pt idx="67">
                    <c:v>Faith</c:v>
                  </c:pt>
                  <c:pt idx="68">
                    <c:v>Edem</c:v>
                  </c:pt>
                  <c:pt idx="69">
                    <c:v>Prosper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22.5</c:v>
                </c:pt>
                <c:pt idx="1">
                  <c:v>89.100000000000009</c:v>
                </c:pt>
                <c:pt idx="2">
                  <c:v>102.96000000000002</c:v>
                </c:pt>
                <c:pt idx="3">
                  <c:v>220.4</c:v>
                </c:pt>
                <c:pt idx="4">
                  <c:v>40.32</c:v>
                </c:pt>
                <c:pt idx="5">
                  <c:v>35.625</c:v>
                </c:pt>
                <c:pt idx="6">
                  <c:v>56.375</c:v>
                </c:pt>
                <c:pt idx="7">
                  <c:v>22.475000000000001</c:v>
                </c:pt>
                <c:pt idx="8">
                  <c:v>110.45</c:v>
                </c:pt>
                <c:pt idx="9">
                  <c:v>136.80000000000001</c:v>
                </c:pt>
                <c:pt idx="10">
                  <c:v>79.800000000000011</c:v>
                </c:pt>
                <c:pt idx="11">
                  <c:v>116.2</c:v>
                </c:pt>
                <c:pt idx="12">
                  <c:v>132</c:v>
                </c:pt>
                <c:pt idx="13">
                  <c:v>147.84</c:v>
                </c:pt>
                <c:pt idx="14">
                  <c:v>85.4</c:v>
                </c:pt>
                <c:pt idx="15">
                  <c:v>91.65</c:v>
                </c:pt>
                <c:pt idx="16">
                  <c:v>218.4</c:v>
                </c:pt>
                <c:pt idx="17">
                  <c:v>118.80000000000001</c:v>
                </c:pt>
                <c:pt idx="18">
                  <c:v>43.550000000000004</c:v>
                </c:pt>
                <c:pt idx="19">
                  <c:v>73.95</c:v>
                </c:pt>
                <c:pt idx="20">
                  <c:v>151.125</c:v>
                </c:pt>
                <c:pt idx="21">
                  <c:v>116</c:v>
                </c:pt>
                <c:pt idx="22">
                  <c:v>142.68</c:v>
                </c:pt>
                <c:pt idx="23">
                  <c:v>117.04550000000002</c:v>
                </c:pt>
                <c:pt idx="24">
                  <c:v>73.8</c:v>
                </c:pt>
                <c:pt idx="25">
                  <c:v>76.2</c:v>
                </c:pt>
                <c:pt idx="26">
                  <c:v>53.6</c:v>
                </c:pt>
                <c:pt idx="27">
                  <c:v>132.6</c:v>
                </c:pt>
                <c:pt idx="28">
                  <c:v>79.75</c:v>
                </c:pt>
                <c:pt idx="29">
                  <c:v>154.80000000000001</c:v>
                </c:pt>
                <c:pt idx="30">
                  <c:v>155.92500000000001</c:v>
                </c:pt>
                <c:pt idx="31">
                  <c:v>101.2</c:v>
                </c:pt>
                <c:pt idx="32">
                  <c:v>58.425000000000004</c:v>
                </c:pt>
                <c:pt idx="33">
                  <c:v>103.75</c:v>
                </c:pt>
                <c:pt idx="34">
                  <c:v>128.78</c:v>
                </c:pt>
                <c:pt idx="35">
                  <c:v>170.10000000000002</c:v>
                </c:pt>
                <c:pt idx="36">
                  <c:v>122.4</c:v>
                </c:pt>
                <c:pt idx="37">
                  <c:v>113.10000000000001</c:v>
                </c:pt>
                <c:pt idx="38">
                  <c:v>96.525000000000006</c:v>
                </c:pt>
                <c:pt idx="39">
                  <c:v>95.15</c:v>
                </c:pt>
                <c:pt idx="40">
                  <c:v>106.4</c:v>
                </c:pt>
                <c:pt idx="41">
                  <c:v>122.4</c:v>
                </c:pt>
                <c:pt idx="42">
                  <c:v>104.55000000000001</c:v>
                </c:pt>
                <c:pt idx="43">
                  <c:v>120.65</c:v>
                </c:pt>
                <c:pt idx="44">
                  <c:v>51.800000000000004</c:v>
                </c:pt>
                <c:pt idx="45">
                  <c:v>74.400000000000006</c:v>
                </c:pt>
                <c:pt idx="46">
                  <c:v>42.887500000000003</c:v>
                </c:pt>
                <c:pt idx="47">
                  <c:v>70.20750000000001</c:v>
                </c:pt>
                <c:pt idx="48">
                  <c:v>120.75</c:v>
                </c:pt>
                <c:pt idx="49">
                  <c:v>123</c:v>
                </c:pt>
                <c:pt idx="50">
                  <c:v>128.70000000000002</c:v>
                </c:pt>
                <c:pt idx="51">
                  <c:v>168</c:v>
                </c:pt>
                <c:pt idx="52">
                  <c:v>125.25</c:v>
                </c:pt>
                <c:pt idx="53">
                  <c:v>137.02500000000001</c:v>
                </c:pt>
                <c:pt idx="54">
                  <c:v>152</c:v>
                </c:pt>
                <c:pt idx="55">
                  <c:v>126.15</c:v>
                </c:pt>
                <c:pt idx="56">
                  <c:v>159.20000000000002</c:v>
                </c:pt>
                <c:pt idx="57">
                  <c:v>133.5</c:v>
                </c:pt>
                <c:pt idx="58">
                  <c:v>119.76900000000001</c:v>
                </c:pt>
                <c:pt idx="59">
                  <c:v>134.07500000000002</c:v>
                </c:pt>
                <c:pt idx="60">
                  <c:v>120.575</c:v>
                </c:pt>
                <c:pt idx="61">
                  <c:v>134.4</c:v>
                </c:pt>
                <c:pt idx="62">
                  <c:v>108.60000000000001</c:v>
                </c:pt>
                <c:pt idx="63">
                  <c:v>77.550000000000011</c:v>
                </c:pt>
                <c:pt idx="64">
                  <c:v>76.5</c:v>
                </c:pt>
                <c:pt idx="65">
                  <c:v>113.4</c:v>
                </c:pt>
                <c:pt idx="66">
                  <c:v>134.07500000000002</c:v>
                </c:pt>
                <c:pt idx="67">
                  <c:v>95.550000000000011</c:v>
                </c:pt>
                <c:pt idx="68">
                  <c:v>142.6</c:v>
                </c:pt>
                <c:pt idx="69">
                  <c:v>134.47499999999999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D1-4CAD-AE32-D3E7BF3E5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6312848"/>
        <c:axId val="536310928"/>
      </c:barChart>
      <c:catAx>
        <c:axId val="53631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310928"/>
        <c:crosses val="autoZero"/>
        <c:auto val="1"/>
        <c:lblAlgn val="ctr"/>
        <c:lblOffset val="100"/>
        <c:noMultiLvlLbl val="0"/>
      </c:catAx>
      <c:valAx>
        <c:axId val="53631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31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55215</xdr:colOff>
      <xdr:row>21</xdr:row>
      <xdr:rowOff>96640</xdr:rowOff>
    </xdr:from>
    <xdr:to>
      <xdr:col>22</xdr:col>
      <xdr:colOff>358910</xdr:colOff>
      <xdr:row>47</xdr:row>
      <xdr:rowOff>165661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E31A22-03D8-1A03-44E3-6F5A88CFF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15" zoomScale="75" zoomScaleNormal="75" workbookViewId="0">
      <selection activeCell="R20" sqref="R20"/>
    </sheetView>
  </sheetViews>
  <sheetFormatPr defaultColWidth="14.42578125" defaultRowHeight="15" customHeight="1" x14ac:dyDescent="0.25"/>
  <cols>
    <col min="1" max="1" width="14.5703125" customWidth="1"/>
    <col min="2" max="2" width="10.140625" customWidth="1"/>
    <col min="3" max="3" width="13.28515625" customWidth="1"/>
    <col min="4" max="4" width="13.5703125" customWidth="1"/>
    <col min="5" max="5" width="14.85546875" customWidth="1"/>
    <col min="6" max="6" width="16.42578125" customWidth="1"/>
    <col min="7" max="7" width="9.42578125" customWidth="1"/>
    <col min="8" max="10" width="8.7109375" customWidth="1"/>
    <col min="11" max="11" width="21.85546875" customWidth="1"/>
    <col min="12" max="12" width="17.7109375" customWidth="1"/>
    <col min="13" max="26" width="8.7109375" customWidth="1"/>
  </cols>
  <sheetData>
    <row r="1" spans="1:26" ht="14.2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>
        <v>0.05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>
        <v>1</v>
      </c>
      <c r="B2" s="6" t="s">
        <v>26</v>
      </c>
      <c r="C2" s="7">
        <v>15</v>
      </c>
      <c r="D2" s="5">
        <v>30</v>
      </c>
      <c r="E2" s="8">
        <f>C2*D2</f>
        <v>450</v>
      </c>
      <c r="F2" s="8">
        <f>E2*$H$1</f>
        <v>22.5</v>
      </c>
    </row>
    <row r="3" spans="1:26" ht="14.25" customHeight="1" x14ac:dyDescent="0.25">
      <c r="A3" s="5">
        <v>2</v>
      </c>
      <c r="B3" s="6" t="s">
        <v>7</v>
      </c>
      <c r="C3" s="7">
        <v>13.5</v>
      </c>
      <c r="D3" s="5">
        <v>132</v>
      </c>
      <c r="E3" s="8">
        <f t="shared" ref="E3:E66" si="0">C3*D3</f>
        <v>1782</v>
      </c>
      <c r="F3" s="8">
        <f t="shared" ref="F3:F66" si="1">E3*$H$1</f>
        <v>89.100000000000009</v>
      </c>
    </row>
    <row r="4" spans="1:26" ht="14.25" customHeight="1" x14ac:dyDescent="0.25">
      <c r="A4" s="5">
        <v>3</v>
      </c>
      <c r="B4" s="6" t="s">
        <v>27</v>
      </c>
      <c r="C4" s="7">
        <v>14.4</v>
      </c>
      <c r="D4" s="5">
        <v>143</v>
      </c>
      <c r="E4" s="8">
        <f t="shared" si="0"/>
        <v>2059.2000000000003</v>
      </c>
      <c r="F4" s="8">
        <f t="shared" si="1"/>
        <v>102.96000000000002</v>
      </c>
    </row>
    <row r="5" spans="1:26" ht="14.25" customHeight="1" x14ac:dyDescent="0.25">
      <c r="A5" s="5">
        <v>4</v>
      </c>
      <c r="B5" s="6" t="s">
        <v>28</v>
      </c>
      <c r="C5" s="7">
        <v>30.4</v>
      </c>
      <c r="D5" s="12">
        <v>145</v>
      </c>
      <c r="E5" s="8">
        <f t="shared" si="0"/>
        <v>4408</v>
      </c>
      <c r="F5" s="8">
        <f t="shared" si="1"/>
        <v>220.4</v>
      </c>
      <c r="K5" s="9"/>
      <c r="L5" s="9"/>
    </row>
    <row r="6" spans="1:26" ht="14.25" customHeight="1" x14ac:dyDescent="0.25">
      <c r="A6" s="5">
        <v>5</v>
      </c>
      <c r="B6" s="6" t="s">
        <v>29</v>
      </c>
      <c r="C6" s="7">
        <v>14.4</v>
      </c>
      <c r="D6" s="12">
        <v>56</v>
      </c>
      <c r="E6" s="8">
        <f t="shared" si="0"/>
        <v>806.4</v>
      </c>
      <c r="F6" s="8">
        <f t="shared" si="1"/>
        <v>40.32</v>
      </c>
    </row>
    <row r="7" spans="1:26" ht="14.25" customHeight="1" x14ac:dyDescent="0.25">
      <c r="A7" s="5">
        <v>6</v>
      </c>
      <c r="B7" s="6" t="s">
        <v>30</v>
      </c>
      <c r="C7" s="7">
        <v>12.5</v>
      </c>
      <c r="D7" s="12">
        <v>57</v>
      </c>
      <c r="E7" s="8">
        <f t="shared" si="0"/>
        <v>712.5</v>
      </c>
      <c r="F7" s="8">
        <f t="shared" si="1"/>
        <v>35.625</v>
      </c>
      <c r="K7" s="10"/>
    </row>
    <row r="8" spans="1:26" ht="14.25" customHeight="1" x14ac:dyDescent="0.25">
      <c r="A8" s="5">
        <v>7</v>
      </c>
      <c r="B8" s="6" t="s">
        <v>31</v>
      </c>
      <c r="C8" s="7">
        <v>13.75</v>
      </c>
      <c r="D8" s="12">
        <v>82</v>
      </c>
      <c r="E8" s="8">
        <f t="shared" si="0"/>
        <v>1127.5</v>
      </c>
      <c r="F8" s="8">
        <f t="shared" si="1"/>
        <v>56.375</v>
      </c>
      <c r="K8" s="10"/>
    </row>
    <row r="9" spans="1:26" ht="14.25" customHeight="1" x14ac:dyDescent="0.25">
      <c r="A9" s="5">
        <v>8</v>
      </c>
      <c r="B9" s="6" t="s">
        <v>32</v>
      </c>
      <c r="C9" s="7">
        <v>15.5</v>
      </c>
      <c r="D9" s="12">
        <v>29</v>
      </c>
      <c r="E9" s="8">
        <f t="shared" si="0"/>
        <v>449.5</v>
      </c>
      <c r="F9" s="8">
        <f t="shared" si="1"/>
        <v>22.475000000000001</v>
      </c>
      <c r="K9" s="10"/>
    </row>
    <row r="10" spans="1:26" ht="14.25" customHeight="1" x14ac:dyDescent="0.25">
      <c r="A10" s="5">
        <v>9</v>
      </c>
      <c r="B10" s="6" t="s">
        <v>33</v>
      </c>
      <c r="C10" s="7">
        <v>11.75</v>
      </c>
      <c r="D10" s="12">
        <v>188</v>
      </c>
      <c r="E10" s="8">
        <f t="shared" si="0"/>
        <v>2209</v>
      </c>
      <c r="F10" s="8">
        <f t="shared" si="1"/>
        <v>110.45</v>
      </c>
      <c r="K10" s="10"/>
    </row>
    <row r="11" spans="1:26" ht="14.25" customHeight="1" x14ac:dyDescent="0.25">
      <c r="A11" s="5">
        <v>10</v>
      </c>
      <c r="B11" s="6" t="s">
        <v>34</v>
      </c>
      <c r="C11" s="7">
        <v>19</v>
      </c>
      <c r="D11" s="12">
        <v>144</v>
      </c>
      <c r="E11" s="8">
        <f t="shared" si="0"/>
        <v>2736</v>
      </c>
      <c r="F11" s="8">
        <f t="shared" si="1"/>
        <v>136.80000000000001</v>
      </c>
    </row>
    <row r="12" spans="1:26" ht="14.25" customHeight="1" x14ac:dyDescent="0.25">
      <c r="A12" s="5">
        <v>11</v>
      </c>
      <c r="B12" s="6" t="s">
        <v>25</v>
      </c>
      <c r="C12" s="7">
        <v>12</v>
      </c>
      <c r="D12" s="12">
        <v>133</v>
      </c>
      <c r="E12" s="8">
        <f t="shared" si="0"/>
        <v>1596</v>
      </c>
      <c r="F12" s="8">
        <f t="shared" si="1"/>
        <v>79.800000000000011</v>
      </c>
    </row>
    <row r="13" spans="1:26" ht="14.25" customHeight="1" x14ac:dyDescent="0.25">
      <c r="A13" s="5">
        <v>12</v>
      </c>
      <c r="B13" s="6" t="s">
        <v>35</v>
      </c>
      <c r="C13" s="7">
        <v>14</v>
      </c>
      <c r="D13" s="12">
        <v>166</v>
      </c>
      <c r="E13" s="8">
        <f t="shared" si="0"/>
        <v>2324</v>
      </c>
      <c r="F13" s="8">
        <f t="shared" si="1"/>
        <v>116.2</v>
      </c>
    </row>
    <row r="14" spans="1:26" ht="14.25" customHeight="1" x14ac:dyDescent="0.25">
      <c r="A14" s="5">
        <v>13</v>
      </c>
      <c r="B14" s="6" t="s">
        <v>36</v>
      </c>
      <c r="C14" s="7">
        <v>15</v>
      </c>
      <c r="D14" s="12">
        <v>176</v>
      </c>
      <c r="E14" s="8">
        <f t="shared" si="0"/>
        <v>2640</v>
      </c>
      <c r="F14" s="8">
        <f t="shared" si="1"/>
        <v>132</v>
      </c>
    </row>
    <row r="15" spans="1:26" ht="14.25" customHeight="1" x14ac:dyDescent="0.25">
      <c r="A15" s="5">
        <v>14</v>
      </c>
      <c r="B15" s="6" t="s">
        <v>37</v>
      </c>
      <c r="C15" s="7">
        <v>19.2</v>
      </c>
      <c r="D15" s="12">
        <v>154</v>
      </c>
      <c r="E15" s="8">
        <f t="shared" si="0"/>
        <v>2956.7999999999997</v>
      </c>
      <c r="F15" s="8">
        <f t="shared" si="1"/>
        <v>147.84</v>
      </c>
    </row>
    <row r="16" spans="1:26" ht="14.25" customHeight="1" x14ac:dyDescent="0.25">
      <c r="A16" s="5">
        <v>15</v>
      </c>
      <c r="B16" s="6" t="s">
        <v>8</v>
      </c>
      <c r="C16" s="7">
        <v>14</v>
      </c>
      <c r="D16" s="12">
        <v>122</v>
      </c>
      <c r="E16" s="8">
        <f t="shared" si="0"/>
        <v>1708</v>
      </c>
      <c r="F16" s="8">
        <f t="shared" si="1"/>
        <v>85.4</v>
      </c>
    </row>
    <row r="17" spans="1:6" ht="14.25" customHeight="1" x14ac:dyDescent="0.25">
      <c r="A17" s="5">
        <v>16</v>
      </c>
      <c r="B17" s="6" t="s">
        <v>38</v>
      </c>
      <c r="C17" s="7">
        <v>13</v>
      </c>
      <c r="D17" s="12">
        <v>141</v>
      </c>
      <c r="E17" s="8">
        <f t="shared" si="0"/>
        <v>1833</v>
      </c>
      <c r="F17" s="8">
        <f t="shared" si="1"/>
        <v>91.65</v>
      </c>
    </row>
    <row r="18" spans="1:6" ht="14.25" customHeight="1" x14ac:dyDescent="0.25">
      <c r="A18" s="5">
        <v>17</v>
      </c>
      <c r="B18" s="6" t="s">
        <v>39</v>
      </c>
      <c r="C18" s="7">
        <v>28</v>
      </c>
      <c r="D18" s="12">
        <v>156</v>
      </c>
      <c r="E18" s="8">
        <f t="shared" si="0"/>
        <v>4368</v>
      </c>
      <c r="F18" s="8">
        <f t="shared" si="1"/>
        <v>218.4</v>
      </c>
    </row>
    <row r="19" spans="1:6" ht="14.25" customHeight="1" x14ac:dyDescent="0.25">
      <c r="A19" s="5">
        <v>18</v>
      </c>
      <c r="B19" s="6" t="s">
        <v>9</v>
      </c>
      <c r="C19" s="7">
        <v>18</v>
      </c>
      <c r="D19" s="12">
        <v>132</v>
      </c>
      <c r="E19" s="8">
        <f t="shared" si="0"/>
        <v>2376</v>
      </c>
      <c r="F19" s="8">
        <f t="shared" si="1"/>
        <v>118.80000000000001</v>
      </c>
    </row>
    <row r="20" spans="1:6" ht="14.25" customHeight="1" x14ac:dyDescent="0.25">
      <c r="A20" s="5">
        <v>19</v>
      </c>
      <c r="B20" s="6" t="s">
        <v>40</v>
      </c>
      <c r="C20" s="7">
        <v>13</v>
      </c>
      <c r="D20" s="12">
        <v>67</v>
      </c>
      <c r="E20" s="8">
        <f t="shared" si="0"/>
        <v>871</v>
      </c>
      <c r="F20" s="8">
        <f t="shared" si="1"/>
        <v>43.550000000000004</v>
      </c>
    </row>
    <row r="21" spans="1:6" ht="14.25" customHeight="1" x14ac:dyDescent="0.25">
      <c r="A21" s="5">
        <v>20</v>
      </c>
      <c r="B21" s="6" t="s">
        <v>10</v>
      </c>
      <c r="C21" s="7">
        <v>17</v>
      </c>
      <c r="D21" s="12">
        <v>87</v>
      </c>
      <c r="E21" s="8">
        <f t="shared" si="0"/>
        <v>1479</v>
      </c>
      <c r="F21" s="8">
        <f t="shared" si="1"/>
        <v>73.95</v>
      </c>
    </row>
    <row r="22" spans="1:6" ht="14.25" customHeight="1" x14ac:dyDescent="0.25">
      <c r="A22" s="5">
        <v>21</v>
      </c>
      <c r="B22" s="6" t="s">
        <v>41</v>
      </c>
      <c r="C22" s="7">
        <v>19.5</v>
      </c>
      <c r="D22" s="12">
        <v>155</v>
      </c>
      <c r="E22" s="8">
        <f t="shared" si="0"/>
        <v>3022.5</v>
      </c>
      <c r="F22" s="8">
        <f t="shared" si="1"/>
        <v>151.125</v>
      </c>
    </row>
    <row r="23" spans="1:6" ht="14.25" customHeight="1" x14ac:dyDescent="0.25">
      <c r="A23" s="5">
        <v>22</v>
      </c>
      <c r="B23" s="6" t="s">
        <v>10</v>
      </c>
      <c r="C23" s="7">
        <v>16</v>
      </c>
      <c r="D23" s="12">
        <v>145</v>
      </c>
      <c r="E23" s="8">
        <f t="shared" si="0"/>
        <v>2320</v>
      </c>
      <c r="F23" s="8">
        <f t="shared" si="1"/>
        <v>116</v>
      </c>
    </row>
    <row r="24" spans="1:6" ht="14.25" customHeight="1" x14ac:dyDescent="0.25">
      <c r="A24" s="5">
        <v>23</v>
      </c>
      <c r="B24" s="6" t="s">
        <v>11</v>
      </c>
      <c r="C24" s="7">
        <v>17.399999999999999</v>
      </c>
      <c r="D24" s="12">
        <v>164</v>
      </c>
      <c r="E24" s="8">
        <f t="shared" si="0"/>
        <v>2853.6</v>
      </c>
      <c r="F24" s="8">
        <f t="shared" si="1"/>
        <v>142.68</v>
      </c>
    </row>
    <row r="25" spans="1:6" ht="14.25" customHeight="1" x14ac:dyDescent="0.25">
      <c r="A25" s="5">
        <v>24</v>
      </c>
      <c r="B25" s="6" t="s">
        <v>42</v>
      </c>
      <c r="C25" s="7">
        <v>16.37</v>
      </c>
      <c r="D25" s="5">
        <v>143</v>
      </c>
      <c r="E25" s="8">
        <f t="shared" si="0"/>
        <v>2340.9100000000003</v>
      </c>
      <c r="F25" s="8">
        <f t="shared" si="1"/>
        <v>117.04550000000002</v>
      </c>
    </row>
    <row r="26" spans="1:6" ht="14.25" customHeight="1" x14ac:dyDescent="0.25">
      <c r="A26" s="5">
        <v>25</v>
      </c>
      <c r="B26" s="6" t="s">
        <v>43</v>
      </c>
      <c r="C26" s="7">
        <v>12</v>
      </c>
      <c r="D26" s="12">
        <v>123</v>
      </c>
      <c r="E26" s="8">
        <f t="shared" si="0"/>
        <v>1476</v>
      </c>
      <c r="F26" s="8">
        <f t="shared" si="1"/>
        <v>73.8</v>
      </c>
    </row>
    <row r="27" spans="1:6" ht="14.25" customHeight="1" x14ac:dyDescent="0.25">
      <c r="A27" s="5">
        <v>26</v>
      </c>
      <c r="B27" s="6" t="s">
        <v>44</v>
      </c>
      <c r="C27" s="7">
        <v>12</v>
      </c>
      <c r="D27" s="12">
        <v>127</v>
      </c>
      <c r="E27" s="8">
        <f t="shared" si="0"/>
        <v>1524</v>
      </c>
      <c r="F27" s="8">
        <f t="shared" si="1"/>
        <v>76.2</v>
      </c>
    </row>
    <row r="28" spans="1:6" ht="14.25" customHeight="1" x14ac:dyDescent="0.25">
      <c r="A28" s="5">
        <v>27</v>
      </c>
      <c r="B28" s="6" t="s">
        <v>45</v>
      </c>
      <c r="C28" s="7">
        <v>16</v>
      </c>
      <c r="D28" s="12">
        <v>67</v>
      </c>
      <c r="E28" s="8">
        <f t="shared" si="0"/>
        <v>1072</v>
      </c>
      <c r="F28" s="8">
        <f t="shared" si="1"/>
        <v>53.6</v>
      </c>
    </row>
    <row r="29" spans="1:6" ht="14.25" customHeight="1" x14ac:dyDescent="0.25">
      <c r="A29" s="5">
        <v>28</v>
      </c>
      <c r="B29" s="6" t="s">
        <v>46</v>
      </c>
      <c r="C29" s="7">
        <v>17</v>
      </c>
      <c r="D29" s="12">
        <v>156</v>
      </c>
      <c r="E29" s="8">
        <f t="shared" si="0"/>
        <v>2652</v>
      </c>
      <c r="F29" s="8">
        <f t="shared" si="1"/>
        <v>132.6</v>
      </c>
    </row>
    <row r="30" spans="1:6" ht="14.25" customHeight="1" x14ac:dyDescent="0.25">
      <c r="A30" s="5">
        <v>29</v>
      </c>
      <c r="B30" s="6" t="s">
        <v>47</v>
      </c>
      <c r="C30" s="7">
        <v>11</v>
      </c>
      <c r="D30" s="12">
        <v>145</v>
      </c>
      <c r="E30" s="8">
        <f t="shared" si="0"/>
        <v>1595</v>
      </c>
      <c r="F30" s="8">
        <f t="shared" si="1"/>
        <v>79.75</v>
      </c>
    </row>
    <row r="31" spans="1:6" ht="14.25" customHeight="1" x14ac:dyDescent="0.25">
      <c r="A31" s="5">
        <v>30</v>
      </c>
      <c r="B31" s="6" t="s">
        <v>48</v>
      </c>
      <c r="C31" s="7">
        <v>18</v>
      </c>
      <c r="D31" s="12">
        <v>172</v>
      </c>
      <c r="E31" s="8">
        <f t="shared" si="0"/>
        <v>3096</v>
      </c>
      <c r="F31" s="8">
        <f t="shared" si="1"/>
        <v>154.80000000000001</v>
      </c>
    </row>
    <row r="32" spans="1:6" ht="14.25" customHeight="1" x14ac:dyDescent="0.25">
      <c r="A32" s="5">
        <v>31</v>
      </c>
      <c r="B32" s="6" t="s">
        <v>12</v>
      </c>
      <c r="C32" s="7">
        <v>16.5</v>
      </c>
      <c r="D32" s="12">
        <v>189</v>
      </c>
      <c r="E32" s="8">
        <f t="shared" si="0"/>
        <v>3118.5</v>
      </c>
      <c r="F32" s="8">
        <f t="shared" si="1"/>
        <v>155.92500000000001</v>
      </c>
    </row>
    <row r="33" spans="1:6" ht="14.25" customHeight="1" x14ac:dyDescent="0.25">
      <c r="A33" s="5">
        <v>32</v>
      </c>
      <c r="B33" s="6" t="s">
        <v>49</v>
      </c>
      <c r="C33" s="7">
        <v>11.5</v>
      </c>
      <c r="D33" s="12">
        <v>176</v>
      </c>
      <c r="E33" s="8">
        <f t="shared" si="0"/>
        <v>2024</v>
      </c>
      <c r="F33" s="8">
        <f t="shared" si="1"/>
        <v>101.2</v>
      </c>
    </row>
    <row r="34" spans="1:6" ht="14.25" customHeight="1" x14ac:dyDescent="0.25">
      <c r="A34" s="5">
        <v>33</v>
      </c>
      <c r="B34" s="6" t="s">
        <v>13</v>
      </c>
      <c r="C34" s="7">
        <v>12.3</v>
      </c>
      <c r="D34" s="12">
        <v>95</v>
      </c>
      <c r="E34" s="8">
        <f t="shared" si="0"/>
        <v>1168.5</v>
      </c>
      <c r="F34" s="8">
        <f t="shared" si="1"/>
        <v>58.425000000000004</v>
      </c>
    </row>
    <row r="35" spans="1:6" ht="14.25" customHeight="1" x14ac:dyDescent="0.25">
      <c r="A35" s="5">
        <v>34</v>
      </c>
      <c r="B35" s="6" t="s">
        <v>50</v>
      </c>
      <c r="C35" s="7">
        <v>12.5</v>
      </c>
      <c r="D35" s="12">
        <v>166</v>
      </c>
      <c r="E35" s="8">
        <f t="shared" si="0"/>
        <v>2075</v>
      </c>
      <c r="F35" s="8">
        <f t="shared" si="1"/>
        <v>103.75</v>
      </c>
    </row>
    <row r="36" spans="1:6" ht="14.25" customHeight="1" x14ac:dyDescent="0.25">
      <c r="A36" s="5">
        <v>35</v>
      </c>
      <c r="B36" s="6" t="s">
        <v>51</v>
      </c>
      <c r="C36" s="7">
        <v>13.7</v>
      </c>
      <c r="D36" s="12">
        <v>188</v>
      </c>
      <c r="E36" s="8">
        <f t="shared" si="0"/>
        <v>2575.6</v>
      </c>
      <c r="F36" s="8">
        <f t="shared" si="1"/>
        <v>128.78</v>
      </c>
    </row>
    <row r="37" spans="1:6" ht="14.25" customHeight="1" x14ac:dyDescent="0.25">
      <c r="A37" s="5">
        <v>36</v>
      </c>
      <c r="B37" s="6" t="s">
        <v>52</v>
      </c>
      <c r="C37" s="7">
        <v>18</v>
      </c>
      <c r="D37" s="12">
        <v>189</v>
      </c>
      <c r="E37" s="8">
        <f t="shared" si="0"/>
        <v>3402</v>
      </c>
      <c r="F37" s="8">
        <f t="shared" si="1"/>
        <v>170.10000000000002</v>
      </c>
    </row>
    <row r="38" spans="1:6" ht="14.25" customHeight="1" x14ac:dyDescent="0.25">
      <c r="A38" s="5">
        <v>37</v>
      </c>
      <c r="B38" s="6" t="s">
        <v>53</v>
      </c>
      <c r="C38" s="7">
        <v>17</v>
      </c>
      <c r="D38" s="12">
        <v>144</v>
      </c>
      <c r="E38" s="8">
        <f t="shared" si="0"/>
        <v>2448</v>
      </c>
      <c r="F38" s="8">
        <f t="shared" si="1"/>
        <v>122.4</v>
      </c>
    </row>
    <row r="39" spans="1:6" ht="14.25" customHeight="1" x14ac:dyDescent="0.25">
      <c r="A39" s="5">
        <v>38</v>
      </c>
      <c r="B39" s="6" t="s">
        <v>54</v>
      </c>
      <c r="C39" s="7">
        <v>14.5</v>
      </c>
      <c r="D39" s="12">
        <v>156</v>
      </c>
      <c r="E39" s="8">
        <f t="shared" si="0"/>
        <v>2262</v>
      </c>
      <c r="F39" s="8">
        <f t="shared" si="1"/>
        <v>113.10000000000001</v>
      </c>
    </row>
    <row r="40" spans="1:6" ht="14.25" customHeight="1" x14ac:dyDescent="0.25">
      <c r="A40" s="5">
        <v>39</v>
      </c>
      <c r="B40" s="6" t="s">
        <v>55</v>
      </c>
      <c r="C40" s="7">
        <v>13.5</v>
      </c>
      <c r="D40" s="12">
        <v>143</v>
      </c>
      <c r="E40" s="8">
        <f t="shared" si="0"/>
        <v>1930.5</v>
      </c>
      <c r="F40" s="8">
        <f t="shared" si="1"/>
        <v>96.525000000000006</v>
      </c>
    </row>
    <row r="41" spans="1:6" ht="14.25" customHeight="1" x14ac:dyDescent="0.25">
      <c r="A41" s="5">
        <v>40</v>
      </c>
      <c r="B41" s="6" t="s">
        <v>56</v>
      </c>
      <c r="C41" s="7">
        <v>11</v>
      </c>
      <c r="D41" s="12">
        <v>173</v>
      </c>
      <c r="E41" s="8">
        <f t="shared" si="0"/>
        <v>1903</v>
      </c>
      <c r="F41" s="8">
        <f t="shared" si="1"/>
        <v>95.15</v>
      </c>
    </row>
    <row r="42" spans="1:6" ht="14.25" customHeight="1" x14ac:dyDescent="0.25">
      <c r="A42" s="5">
        <v>41</v>
      </c>
      <c r="B42" s="6" t="s">
        <v>57</v>
      </c>
      <c r="C42" s="7">
        <v>14</v>
      </c>
      <c r="D42" s="12">
        <v>152</v>
      </c>
      <c r="E42" s="8">
        <f t="shared" si="0"/>
        <v>2128</v>
      </c>
      <c r="F42" s="8">
        <f t="shared" si="1"/>
        <v>106.4</v>
      </c>
    </row>
    <row r="43" spans="1:6" ht="14.25" customHeight="1" x14ac:dyDescent="0.25">
      <c r="A43" s="5">
        <v>42</v>
      </c>
      <c r="B43" s="6" t="s">
        <v>58</v>
      </c>
      <c r="C43" s="7">
        <v>16</v>
      </c>
      <c r="D43" s="12">
        <v>153</v>
      </c>
      <c r="E43" s="8">
        <f t="shared" si="0"/>
        <v>2448</v>
      </c>
      <c r="F43" s="8">
        <f t="shared" si="1"/>
        <v>122.4</v>
      </c>
    </row>
    <row r="44" spans="1:6" ht="14.25" customHeight="1" x14ac:dyDescent="0.25">
      <c r="A44" s="5">
        <v>43</v>
      </c>
      <c r="B44" s="6" t="s">
        <v>14</v>
      </c>
      <c r="C44" s="7">
        <v>17</v>
      </c>
      <c r="D44" s="12">
        <v>123</v>
      </c>
      <c r="E44" s="8">
        <f t="shared" si="0"/>
        <v>2091</v>
      </c>
      <c r="F44" s="8">
        <f t="shared" si="1"/>
        <v>104.55000000000001</v>
      </c>
    </row>
    <row r="45" spans="1:6" ht="14.25" customHeight="1" x14ac:dyDescent="0.25">
      <c r="A45" s="5">
        <v>44</v>
      </c>
      <c r="B45" s="6" t="s">
        <v>59</v>
      </c>
      <c r="C45" s="7">
        <v>19</v>
      </c>
      <c r="D45" s="12">
        <v>127</v>
      </c>
      <c r="E45" s="8">
        <f t="shared" si="0"/>
        <v>2413</v>
      </c>
      <c r="F45" s="8">
        <f t="shared" si="1"/>
        <v>120.65</v>
      </c>
    </row>
    <row r="46" spans="1:6" ht="14.25" customHeight="1" x14ac:dyDescent="0.25">
      <c r="A46" s="5">
        <v>45</v>
      </c>
      <c r="B46" s="6" t="s">
        <v>60</v>
      </c>
      <c r="C46" s="7">
        <v>14</v>
      </c>
      <c r="D46" s="12">
        <v>74</v>
      </c>
      <c r="E46" s="8">
        <f t="shared" si="0"/>
        <v>1036</v>
      </c>
      <c r="F46" s="8">
        <f t="shared" si="1"/>
        <v>51.800000000000004</v>
      </c>
    </row>
    <row r="47" spans="1:6" ht="14.25" customHeight="1" x14ac:dyDescent="0.25">
      <c r="A47" s="5">
        <v>46</v>
      </c>
      <c r="B47" s="6" t="s">
        <v>61</v>
      </c>
      <c r="C47" s="7">
        <v>16</v>
      </c>
      <c r="D47" s="12">
        <v>93</v>
      </c>
      <c r="E47" s="8">
        <f t="shared" si="0"/>
        <v>1488</v>
      </c>
      <c r="F47" s="8">
        <f t="shared" si="1"/>
        <v>74.400000000000006</v>
      </c>
    </row>
    <row r="48" spans="1:6" ht="14.25" customHeight="1" x14ac:dyDescent="0.25">
      <c r="A48" s="5">
        <v>47</v>
      </c>
      <c r="B48" s="6" t="s">
        <v>62</v>
      </c>
      <c r="C48" s="7">
        <v>11.75</v>
      </c>
      <c r="D48" s="12">
        <v>73</v>
      </c>
      <c r="E48" s="8">
        <f t="shared" si="0"/>
        <v>857.75</v>
      </c>
      <c r="F48" s="8">
        <f t="shared" si="1"/>
        <v>42.887500000000003</v>
      </c>
    </row>
    <row r="49" spans="1:6" ht="14.25" customHeight="1" x14ac:dyDescent="0.25">
      <c r="A49" s="5">
        <v>48</v>
      </c>
      <c r="B49" s="6" t="s">
        <v>63</v>
      </c>
      <c r="C49" s="7">
        <v>12.65</v>
      </c>
      <c r="D49" s="12">
        <v>111</v>
      </c>
      <c r="E49" s="8">
        <f t="shared" si="0"/>
        <v>1404.15</v>
      </c>
      <c r="F49" s="8">
        <f t="shared" si="1"/>
        <v>70.20750000000001</v>
      </c>
    </row>
    <row r="50" spans="1:6" ht="14.25" customHeight="1" x14ac:dyDescent="0.25">
      <c r="A50" s="5">
        <v>49</v>
      </c>
      <c r="B50" s="6" t="s">
        <v>64</v>
      </c>
      <c r="C50" s="7">
        <v>13.8</v>
      </c>
      <c r="D50" s="12">
        <v>175</v>
      </c>
      <c r="E50" s="8">
        <f t="shared" si="0"/>
        <v>2415</v>
      </c>
      <c r="F50" s="8">
        <f t="shared" si="1"/>
        <v>120.75</v>
      </c>
    </row>
    <row r="51" spans="1:6" ht="14.25" customHeight="1" x14ac:dyDescent="0.25">
      <c r="A51" s="5">
        <v>50</v>
      </c>
      <c r="B51" s="6" t="s">
        <v>65</v>
      </c>
      <c r="C51" s="7">
        <v>12</v>
      </c>
      <c r="D51" s="12">
        <v>205</v>
      </c>
      <c r="E51" s="8">
        <f t="shared" si="0"/>
        <v>2460</v>
      </c>
      <c r="F51" s="8">
        <f t="shared" si="1"/>
        <v>123</v>
      </c>
    </row>
    <row r="52" spans="1:6" ht="14.25" customHeight="1" x14ac:dyDescent="0.25">
      <c r="A52" s="5">
        <v>51</v>
      </c>
      <c r="B52" s="6" t="s">
        <v>15</v>
      </c>
      <c r="C52" s="7">
        <v>18</v>
      </c>
      <c r="D52" s="12">
        <v>143</v>
      </c>
      <c r="E52" s="8">
        <f t="shared" si="0"/>
        <v>2574</v>
      </c>
      <c r="F52" s="8">
        <f t="shared" si="1"/>
        <v>128.70000000000002</v>
      </c>
    </row>
    <row r="53" spans="1:6" ht="14.25" customHeight="1" x14ac:dyDescent="0.25">
      <c r="A53" s="5">
        <v>52</v>
      </c>
      <c r="B53" s="6" t="s">
        <v>66</v>
      </c>
      <c r="C53" s="7">
        <v>16</v>
      </c>
      <c r="D53" s="12">
        <v>210</v>
      </c>
      <c r="E53" s="8">
        <f t="shared" si="0"/>
        <v>3360</v>
      </c>
      <c r="F53" s="8">
        <f t="shared" si="1"/>
        <v>168</v>
      </c>
    </row>
    <row r="54" spans="1:6" ht="14.25" customHeight="1" x14ac:dyDescent="0.25">
      <c r="A54" s="5">
        <v>53</v>
      </c>
      <c r="B54" s="6" t="s">
        <v>16</v>
      </c>
      <c r="C54" s="7">
        <v>15</v>
      </c>
      <c r="D54" s="12">
        <v>167</v>
      </c>
      <c r="E54" s="8">
        <f t="shared" si="0"/>
        <v>2505</v>
      </c>
      <c r="F54" s="8">
        <f t="shared" si="1"/>
        <v>125.25</v>
      </c>
    </row>
    <row r="55" spans="1:6" ht="14.25" customHeight="1" x14ac:dyDescent="0.25">
      <c r="A55" s="5">
        <v>54</v>
      </c>
      <c r="B55" s="6" t="s">
        <v>67</v>
      </c>
      <c r="C55" s="7">
        <v>14.5</v>
      </c>
      <c r="D55" s="12">
        <v>189</v>
      </c>
      <c r="E55" s="8">
        <f t="shared" si="0"/>
        <v>2740.5</v>
      </c>
      <c r="F55" s="8">
        <f t="shared" si="1"/>
        <v>137.02500000000001</v>
      </c>
    </row>
    <row r="56" spans="1:6" ht="14.25" customHeight="1" x14ac:dyDescent="0.25">
      <c r="A56" s="5">
        <v>55</v>
      </c>
      <c r="B56" s="6" t="s">
        <v>68</v>
      </c>
      <c r="C56" s="7">
        <v>16</v>
      </c>
      <c r="D56" s="12">
        <v>190</v>
      </c>
      <c r="E56" s="8">
        <f t="shared" si="0"/>
        <v>3040</v>
      </c>
      <c r="F56" s="8">
        <f t="shared" si="1"/>
        <v>152</v>
      </c>
    </row>
    <row r="57" spans="1:6" ht="14.25" customHeight="1" x14ac:dyDescent="0.25">
      <c r="A57" s="5">
        <v>56</v>
      </c>
      <c r="B57" s="6" t="s">
        <v>69</v>
      </c>
      <c r="C57" s="7">
        <v>14.5</v>
      </c>
      <c r="D57" s="12">
        <v>174</v>
      </c>
      <c r="E57" s="8">
        <f t="shared" si="0"/>
        <v>2523</v>
      </c>
      <c r="F57" s="8">
        <f t="shared" si="1"/>
        <v>126.15</v>
      </c>
    </row>
    <row r="58" spans="1:6" ht="14.25" customHeight="1" x14ac:dyDescent="0.25">
      <c r="A58" s="5">
        <v>57</v>
      </c>
      <c r="B58" s="6" t="s">
        <v>17</v>
      </c>
      <c r="C58" s="7">
        <v>16</v>
      </c>
      <c r="D58" s="12">
        <v>199</v>
      </c>
      <c r="E58" s="8">
        <f t="shared" si="0"/>
        <v>3184</v>
      </c>
      <c r="F58" s="8">
        <f t="shared" si="1"/>
        <v>159.20000000000002</v>
      </c>
    </row>
    <row r="59" spans="1:6" ht="14.25" customHeight="1" x14ac:dyDescent="0.25">
      <c r="A59" s="5">
        <v>58</v>
      </c>
      <c r="B59" s="6" t="s">
        <v>70</v>
      </c>
      <c r="C59" s="7">
        <v>13.35</v>
      </c>
      <c r="D59" s="12">
        <v>200</v>
      </c>
      <c r="E59" s="8">
        <f t="shared" si="0"/>
        <v>2670</v>
      </c>
      <c r="F59" s="8">
        <f t="shared" si="1"/>
        <v>133.5</v>
      </c>
    </row>
    <row r="60" spans="1:6" ht="14.25" customHeight="1" x14ac:dyDescent="0.25">
      <c r="A60" s="5">
        <v>59</v>
      </c>
      <c r="B60" s="6" t="s">
        <v>71</v>
      </c>
      <c r="C60" s="7">
        <v>14.43</v>
      </c>
      <c r="D60" s="12">
        <v>166</v>
      </c>
      <c r="E60" s="8">
        <f t="shared" si="0"/>
        <v>2395.38</v>
      </c>
      <c r="F60" s="8">
        <f t="shared" si="1"/>
        <v>119.76900000000001</v>
      </c>
    </row>
    <row r="61" spans="1:6" ht="14.25" customHeight="1" x14ac:dyDescent="0.25">
      <c r="A61" s="5">
        <v>60</v>
      </c>
      <c r="B61" s="6" t="s">
        <v>72</v>
      </c>
      <c r="C61" s="7">
        <v>15.5</v>
      </c>
      <c r="D61" s="12">
        <v>173</v>
      </c>
      <c r="E61" s="8">
        <f t="shared" si="0"/>
        <v>2681.5</v>
      </c>
      <c r="F61" s="8">
        <f t="shared" si="1"/>
        <v>134.07500000000002</v>
      </c>
    </row>
    <row r="62" spans="1:6" ht="14.25" customHeight="1" x14ac:dyDescent="0.25">
      <c r="A62" s="5">
        <v>61</v>
      </c>
      <c r="B62" s="6" t="s">
        <v>18</v>
      </c>
      <c r="C62" s="7">
        <v>13.25</v>
      </c>
      <c r="D62" s="12">
        <v>182</v>
      </c>
      <c r="E62" s="8">
        <f t="shared" si="0"/>
        <v>2411.5</v>
      </c>
      <c r="F62" s="8">
        <f t="shared" si="1"/>
        <v>120.575</v>
      </c>
    </row>
    <row r="63" spans="1:6" ht="14.25" customHeight="1" x14ac:dyDescent="0.25">
      <c r="A63" s="5">
        <v>62</v>
      </c>
      <c r="B63" s="6" t="s">
        <v>73</v>
      </c>
      <c r="C63" s="7">
        <v>14</v>
      </c>
      <c r="D63" s="12">
        <v>192</v>
      </c>
      <c r="E63" s="8">
        <f t="shared" si="0"/>
        <v>2688</v>
      </c>
      <c r="F63" s="8">
        <f t="shared" si="1"/>
        <v>134.4</v>
      </c>
    </row>
    <row r="64" spans="1:6" ht="14.25" customHeight="1" x14ac:dyDescent="0.25">
      <c r="A64" s="5">
        <v>63</v>
      </c>
      <c r="B64" s="6" t="s">
        <v>74</v>
      </c>
      <c r="C64" s="7">
        <v>12</v>
      </c>
      <c r="D64" s="12">
        <v>181</v>
      </c>
      <c r="E64" s="8">
        <f t="shared" si="0"/>
        <v>2172</v>
      </c>
      <c r="F64" s="8">
        <f t="shared" si="1"/>
        <v>108.60000000000001</v>
      </c>
    </row>
    <row r="65" spans="1:6" ht="14.25" customHeight="1" x14ac:dyDescent="0.25">
      <c r="A65" s="5">
        <v>64</v>
      </c>
      <c r="B65" s="6" t="s">
        <v>75</v>
      </c>
      <c r="C65" s="7">
        <v>11</v>
      </c>
      <c r="D65" s="12">
        <v>141</v>
      </c>
      <c r="E65" s="8">
        <f t="shared" si="0"/>
        <v>1551</v>
      </c>
      <c r="F65" s="8">
        <f t="shared" si="1"/>
        <v>77.550000000000011</v>
      </c>
    </row>
    <row r="66" spans="1:6" ht="14.25" customHeight="1" x14ac:dyDescent="0.25">
      <c r="A66" s="5">
        <v>65</v>
      </c>
      <c r="B66" s="6" t="s">
        <v>76</v>
      </c>
      <c r="C66" s="7">
        <v>10</v>
      </c>
      <c r="D66" s="12">
        <v>153</v>
      </c>
      <c r="E66" s="8">
        <f t="shared" si="0"/>
        <v>1530</v>
      </c>
      <c r="F66" s="8">
        <f t="shared" si="1"/>
        <v>76.5</v>
      </c>
    </row>
    <row r="67" spans="1:6" ht="14.25" customHeight="1" x14ac:dyDescent="0.25">
      <c r="A67" s="5">
        <v>66</v>
      </c>
      <c r="B67" s="6" t="s">
        <v>77</v>
      </c>
      <c r="C67" s="7">
        <v>14</v>
      </c>
      <c r="D67" s="12">
        <v>162</v>
      </c>
      <c r="E67" s="8">
        <f t="shared" ref="E67:E71" si="2">C67*D67</f>
        <v>2268</v>
      </c>
      <c r="F67" s="8">
        <f t="shared" ref="F67:F71" si="3">E67*$H$1</f>
        <v>113.4</v>
      </c>
    </row>
    <row r="68" spans="1:6" ht="14.25" customHeight="1" x14ac:dyDescent="0.25">
      <c r="A68" s="5">
        <v>67</v>
      </c>
      <c r="B68" s="6" t="s">
        <v>78</v>
      </c>
      <c r="C68" s="7">
        <v>15.5</v>
      </c>
      <c r="D68" s="12">
        <v>173</v>
      </c>
      <c r="E68" s="8">
        <f t="shared" si="2"/>
        <v>2681.5</v>
      </c>
      <c r="F68" s="8">
        <f t="shared" si="3"/>
        <v>134.07500000000002</v>
      </c>
    </row>
    <row r="69" spans="1:6" ht="14.25" customHeight="1" x14ac:dyDescent="0.25">
      <c r="A69" s="5">
        <v>68</v>
      </c>
      <c r="B69" s="6" t="s">
        <v>79</v>
      </c>
      <c r="C69" s="7">
        <v>13</v>
      </c>
      <c r="D69" s="12">
        <v>147</v>
      </c>
      <c r="E69" s="8">
        <f t="shared" si="2"/>
        <v>1911</v>
      </c>
      <c r="F69" s="8">
        <f t="shared" si="3"/>
        <v>95.550000000000011</v>
      </c>
    </row>
    <row r="70" spans="1:6" ht="14.25" customHeight="1" x14ac:dyDescent="0.25">
      <c r="A70" s="5">
        <v>69</v>
      </c>
      <c r="B70" s="6" t="s">
        <v>80</v>
      </c>
      <c r="C70" s="7">
        <v>15.5</v>
      </c>
      <c r="D70" s="12">
        <v>184</v>
      </c>
      <c r="E70" s="8">
        <f t="shared" si="2"/>
        <v>2852</v>
      </c>
      <c r="F70" s="8">
        <f t="shared" si="3"/>
        <v>142.6</v>
      </c>
    </row>
    <row r="71" spans="1:6" ht="14.25" customHeight="1" x14ac:dyDescent="0.25">
      <c r="A71" s="5">
        <v>70</v>
      </c>
      <c r="B71" s="6" t="s">
        <v>81</v>
      </c>
      <c r="C71" s="7">
        <v>16.5</v>
      </c>
      <c r="D71" s="12">
        <v>163</v>
      </c>
      <c r="E71" s="8">
        <f t="shared" si="2"/>
        <v>2689.5</v>
      </c>
      <c r="F71" s="8">
        <f t="shared" si="3"/>
        <v>134.47499999999999</v>
      </c>
    </row>
    <row r="72" spans="1:6" ht="14.25" customHeight="1" x14ac:dyDescent="0.25">
      <c r="B72" s="6"/>
      <c r="C72" s="11" t="s">
        <v>19</v>
      </c>
      <c r="D72" s="5">
        <f>SUM(D2:D71)</f>
        <v>10131</v>
      </c>
      <c r="E72" s="13">
        <f t="shared" ref="E72:F72" si="4">SUM(E2:E71)</f>
        <v>152919.79</v>
      </c>
      <c r="F72" s="13">
        <f t="shared" si="4"/>
        <v>7645.9894999999988</v>
      </c>
    </row>
    <row r="73" spans="1:6" ht="14.25" customHeight="1" x14ac:dyDescent="0.25">
      <c r="B73" s="6"/>
      <c r="C73" s="11" t="s">
        <v>20</v>
      </c>
      <c r="D73" s="5">
        <f>AVERAGE(D2:D71)</f>
        <v>144.72857142857143</v>
      </c>
      <c r="E73" s="13">
        <f t="shared" ref="E73:F73" si="5">AVERAGE(E2:E71)</f>
        <v>2184.5684285714287</v>
      </c>
      <c r="F73" s="13">
        <f t="shared" si="5"/>
        <v>109.22842142857141</v>
      </c>
    </row>
    <row r="74" spans="1:6" ht="14.25" customHeight="1" x14ac:dyDescent="0.25">
      <c r="B74" s="6"/>
      <c r="C74" s="11" t="s">
        <v>21</v>
      </c>
      <c r="D74" s="5">
        <f>MAX(D2:D71)</f>
        <v>210</v>
      </c>
      <c r="E74" s="13">
        <f t="shared" ref="E74:F74" si="6">MAX(E2:E71)</f>
        <v>4408</v>
      </c>
      <c r="F74" s="13">
        <f t="shared" si="6"/>
        <v>220.4</v>
      </c>
    </row>
    <row r="75" spans="1:6" ht="14.25" customHeight="1" x14ac:dyDescent="0.25">
      <c r="B75" s="6"/>
      <c r="C75" s="11" t="s">
        <v>22</v>
      </c>
      <c r="D75" s="5">
        <f>MIN(D2:D71)</f>
        <v>29</v>
      </c>
      <c r="E75" s="13">
        <f t="shared" ref="E75:F75" si="7">MIN(E2:E71)</f>
        <v>449.5</v>
      </c>
      <c r="F75" s="13">
        <f t="shared" si="7"/>
        <v>22.475000000000001</v>
      </c>
    </row>
    <row r="76" spans="1:6" ht="14.25" customHeight="1" x14ac:dyDescent="0.25">
      <c r="B76" s="6"/>
      <c r="C76" s="11" t="s">
        <v>23</v>
      </c>
      <c r="D76" s="5">
        <f>COUNT(D2:D71)</f>
        <v>70</v>
      </c>
      <c r="E76" s="13">
        <f>COUNT(E2:E71)</f>
        <v>70</v>
      </c>
      <c r="F76" s="13">
        <f>COUNT(F2:F71)</f>
        <v>70</v>
      </c>
    </row>
    <row r="77" spans="1:6" ht="14.25" customHeight="1" x14ac:dyDescent="0.25">
      <c r="B77" s="6"/>
      <c r="C77" s="7"/>
      <c r="E77" s="8"/>
      <c r="F77" s="8"/>
    </row>
    <row r="78" spans="1:6" ht="14.25" customHeight="1" x14ac:dyDescent="0.25">
      <c r="B78" s="6"/>
      <c r="C78" s="7"/>
      <c r="E78" s="8"/>
      <c r="F78" s="8"/>
    </row>
    <row r="79" spans="1:6" ht="14.25" customHeight="1" x14ac:dyDescent="0.25">
      <c r="B79" s="6"/>
      <c r="C79" s="7"/>
      <c r="E79" s="8"/>
      <c r="F79" s="8"/>
    </row>
    <row r="80" spans="1:6" ht="14.25" customHeight="1" x14ac:dyDescent="0.25">
      <c r="B80" s="6"/>
      <c r="C80" s="7"/>
      <c r="E80" s="8"/>
      <c r="F80" s="8"/>
    </row>
    <row r="81" spans="2:6" ht="14.25" customHeight="1" x14ac:dyDescent="0.25">
      <c r="B81" s="6"/>
      <c r="C81" s="7"/>
      <c r="E81" s="8"/>
      <c r="F81" s="8"/>
    </row>
    <row r="82" spans="2:6" ht="14.25" customHeight="1" x14ac:dyDescent="0.25">
      <c r="B82" s="6"/>
      <c r="C82" s="7"/>
      <c r="E82" s="8"/>
      <c r="F82" s="8"/>
    </row>
    <row r="83" spans="2:6" ht="14.25" customHeight="1" x14ac:dyDescent="0.25">
      <c r="B83" s="6"/>
      <c r="C83" s="7"/>
      <c r="E83" s="8"/>
      <c r="F83" s="8"/>
    </row>
    <row r="84" spans="2:6" ht="14.25" customHeight="1" x14ac:dyDescent="0.25">
      <c r="B84" s="6"/>
      <c r="C84" s="7"/>
      <c r="E84" s="8"/>
      <c r="F84" s="8"/>
    </row>
    <row r="85" spans="2:6" ht="14.25" customHeight="1" x14ac:dyDescent="0.25">
      <c r="B85" s="6"/>
      <c r="C85" s="7"/>
      <c r="E85" s="8"/>
      <c r="F85" s="8"/>
    </row>
    <row r="86" spans="2:6" ht="14.25" customHeight="1" x14ac:dyDescent="0.25">
      <c r="B86" s="6"/>
      <c r="C86" s="7"/>
      <c r="E86" s="8"/>
      <c r="F86" s="8"/>
    </row>
    <row r="87" spans="2:6" ht="14.25" customHeight="1" x14ac:dyDescent="0.25">
      <c r="B87" s="6"/>
      <c r="C87" s="7"/>
      <c r="E87" s="8"/>
      <c r="F87" s="8"/>
    </row>
    <row r="88" spans="2:6" ht="14.25" customHeight="1" x14ac:dyDescent="0.25">
      <c r="B88" s="6"/>
      <c r="C88" s="7"/>
      <c r="E88" s="8"/>
      <c r="F88" s="8"/>
    </row>
    <row r="89" spans="2:6" ht="14.25" customHeight="1" x14ac:dyDescent="0.25">
      <c r="B89" s="6"/>
      <c r="C89" s="7"/>
      <c r="E89" s="8"/>
      <c r="F89" s="8"/>
    </row>
    <row r="90" spans="2:6" ht="14.25" customHeight="1" x14ac:dyDescent="0.25">
      <c r="B90" s="6"/>
      <c r="C90" s="7"/>
      <c r="E90" s="8"/>
      <c r="F90" s="8"/>
    </row>
    <row r="91" spans="2:6" ht="14.25" customHeight="1" x14ac:dyDescent="0.25">
      <c r="B91" s="6"/>
      <c r="C91" s="7"/>
      <c r="E91" s="8"/>
      <c r="F91" s="8"/>
    </row>
    <row r="92" spans="2:6" ht="14.25" customHeight="1" x14ac:dyDescent="0.25">
      <c r="B92" s="6"/>
      <c r="C92" s="7"/>
      <c r="E92" s="8"/>
      <c r="F92" s="8"/>
    </row>
    <row r="93" spans="2:6" ht="14.25" customHeight="1" x14ac:dyDescent="0.25">
      <c r="B93" s="6"/>
      <c r="C93" s="7"/>
      <c r="E93" s="8"/>
      <c r="F93" s="8"/>
    </row>
    <row r="94" spans="2:6" ht="14.25" customHeight="1" x14ac:dyDescent="0.25">
      <c r="B94" s="6"/>
      <c r="C94" s="7"/>
      <c r="E94" s="8"/>
      <c r="F94" s="8"/>
    </row>
    <row r="95" spans="2:6" ht="14.25" customHeight="1" x14ac:dyDescent="0.25">
      <c r="B95" s="6"/>
      <c r="C95" s="7"/>
      <c r="E95" s="8"/>
      <c r="F95" s="8"/>
    </row>
    <row r="96" spans="2:6" ht="14.25" customHeight="1" x14ac:dyDescent="0.25">
      <c r="B96" s="6"/>
      <c r="C96" s="7"/>
      <c r="E96" s="8"/>
      <c r="F96" s="8"/>
    </row>
    <row r="97" spans="2:6" ht="14.25" customHeight="1" x14ac:dyDescent="0.25">
      <c r="B97" s="6"/>
      <c r="C97" s="7"/>
      <c r="E97" s="8"/>
      <c r="F97" s="8"/>
    </row>
    <row r="98" spans="2:6" ht="14.25" customHeight="1" x14ac:dyDescent="0.25">
      <c r="B98" s="6"/>
      <c r="C98" s="7"/>
      <c r="E98" s="8"/>
      <c r="F98" s="8"/>
    </row>
    <row r="99" spans="2:6" ht="14.25" customHeight="1" x14ac:dyDescent="0.25">
      <c r="B99" s="6"/>
      <c r="C99" s="7"/>
      <c r="E99" s="8"/>
      <c r="F99" s="8"/>
    </row>
    <row r="100" spans="2:6" ht="14.25" customHeight="1" x14ac:dyDescent="0.25">
      <c r="B100" s="6"/>
      <c r="C100" s="7"/>
      <c r="E100" s="8"/>
      <c r="F100" s="8"/>
    </row>
    <row r="101" spans="2:6" ht="14.25" customHeight="1" x14ac:dyDescent="0.25">
      <c r="B101" s="6"/>
      <c r="C101" s="7"/>
      <c r="E101" s="8"/>
      <c r="F101" s="8"/>
    </row>
    <row r="102" spans="2:6" ht="14.25" customHeight="1" x14ac:dyDescent="0.25">
      <c r="B102" s="6"/>
      <c r="C102" s="7"/>
      <c r="E102" s="8"/>
      <c r="F102" s="8"/>
    </row>
    <row r="103" spans="2:6" ht="14.25" customHeight="1" x14ac:dyDescent="0.25">
      <c r="B103" s="6"/>
      <c r="C103" s="7"/>
      <c r="E103" s="8"/>
      <c r="F103" s="8"/>
    </row>
    <row r="104" spans="2:6" ht="14.25" customHeight="1" x14ac:dyDescent="0.25">
      <c r="B104" s="6"/>
      <c r="C104" s="7"/>
      <c r="E104" s="8"/>
      <c r="F104" s="8"/>
    </row>
    <row r="105" spans="2:6" ht="14.25" customHeight="1" x14ac:dyDescent="0.25">
      <c r="B105" s="6"/>
      <c r="C105" s="7"/>
      <c r="E105" s="8"/>
      <c r="F105" s="8"/>
    </row>
    <row r="106" spans="2:6" ht="14.25" customHeight="1" x14ac:dyDescent="0.25">
      <c r="B106" s="6"/>
      <c r="C106" s="7"/>
      <c r="E106" s="8"/>
      <c r="F106" s="8"/>
    </row>
    <row r="107" spans="2:6" ht="14.25" customHeight="1" x14ac:dyDescent="0.25">
      <c r="B107" s="6"/>
      <c r="C107" s="7"/>
      <c r="E107" s="8"/>
      <c r="F107" s="8"/>
    </row>
    <row r="108" spans="2:6" ht="14.25" customHeight="1" x14ac:dyDescent="0.25">
      <c r="B108" s="6"/>
      <c r="C108" s="7"/>
      <c r="E108" s="8"/>
      <c r="F108" s="8"/>
    </row>
    <row r="109" spans="2:6" ht="14.25" customHeight="1" x14ac:dyDescent="0.25">
      <c r="B109" s="6"/>
      <c r="C109" s="7"/>
      <c r="E109" s="8"/>
      <c r="F109" s="8"/>
    </row>
    <row r="110" spans="2:6" ht="14.25" customHeight="1" x14ac:dyDescent="0.25">
      <c r="B110" s="6"/>
      <c r="C110" s="7"/>
      <c r="E110" s="8"/>
      <c r="F110" s="8"/>
    </row>
    <row r="111" spans="2:6" ht="14.25" customHeight="1" x14ac:dyDescent="0.25">
      <c r="B111" s="6"/>
      <c r="C111" s="7"/>
      <c r="E111" s="8"/>
      <c r="F111" s="8"/>
    </row>
    <row r="112" spans="2:6" ht="14.25" customHeight="1" x14ac:dyDescent="0.25">
      <c r="B112" s="6"/>
      <c r="C112" s="7"/>
      <c r="E112" s="8"/>
      <c r="F112" s="8"/>
    </row>
    <row r="113" spans="2:6" ht="14.25" customHeight="1" x14ac:dyDescent="0.25">
      <c r="B113" s="6"/>
      <c r="C113" s="7"/>
      <c r="E113" s="8"/>
      <c r="F113" s="8"/>
    </row>
    <row r="114" spans="2:6" ht="14.25" customHeight="1" x14ac:dyDescent="0.25">
      <c r="B114" s="6"/>
      <c r="C114" s="7"/>
      <c r="E114" s="8"/>
      <c r="F114" s="8"/>
    </row>
    <row r="115" spans="2:6" ht="14.25" customHeight="1" x14ac:dyDescent="0.25">
      <c r="B115" s="6"/>
      <c r="C115" s="7"/>
      <c r="E115" s="8"/>
      <c r="F115" s="8"/>
    </row>
    <row r="116" spans="2:6" ht="14.25" customHeight="1" x14ac:dyDescent="0.25">
      <c r="B116" s="6"/>
      <c r="C116" s="7"/>
      <c r="E116" s="8"/>
      <c r="F116" s="8"/>
    </row>
    <row r="117" spans="2:6" ht="14.25" customHeight="1" x14ac:dyDescent="0.25">
      <c r="B117" s="6"/>
      <c r="C117" s="7"/>
      <c r="E117" s="8"/>
      <c r="F117" s="8"/>
    </row>
    <row r="118" spans="2:6" ht="14.25" customHeight="1" x14ac:dyDescent="0.25">
      <c r="B118" s="6"/>
      <c r="C118" s="7"/>
      <c r="E118" s="8"/>
      <c r="F118" s="8"/>
    </row>
    <row r="119" spans="2:6" ht="14.25" customHeight="1" x14ac:dyDescent="0.25">
      <c r="B119" s="6"/>
      <c r="C119" s="7"/>
      <c r="E119" s="8"/>
      <c r="F119" s="8"/>
    </row>
    <row r="120" spans="2:6" ht="14.25" customHeight="1" x14ac:dyDescent="0.25">
      <c r="B120" s="6"/>
      <c r="C120" s="7"/>
      <c r="E120" s="8"/>
      <c r="F120" s="8"/>
    </row>
    <row r="121" spans="2:6" ht="14.25" customHeight="1" x14ac:dyDescent="0.25">
      <c r="B121" s="6"/>
      <c r="C121" s="7"/>
      <c r="E121" s="8"/>
      <c r="F121" s="8"/>
    </row>
    <row r="122" spans="2:6" ht="14.25" customHeight="1" x14ac:dyDescent="0.25">
      <c r="B122" s="6"/>
      <c r="C122" s="7"/>
      <c r="E122" s="8"/>
      <c r="F122" s="8"/>
    </row>
    <row r="123" spans="2:6" ht="14.25" customHeight="1" x14ac:dyDescent="0.25">
      <c r="B123" s="6"/>
      <c r="C123" s="7"/>
      <c r="E123" s="8"/>
      <c r="F123" s="8"/>
    </row>
    <row r="124" spans="2:6" ht="14.25" customHeight="1" x14ac:dyDescent="0.25">
      <c r="B124" s="6"/>
      <c r="C124" s="7"/>
      <c r="E124" s="8"/>
      <c r="F124" s="8"/>
    </row>
    <row r="125" spans="2:6" ht="14.25" customHeight="1" x14ac:dyDescent="0.25">
      <c r="B125" s="6"/>
      <c r="C125" s="7"/>
      <c r="E125" s="8"/>
      <c r="F125" s="8"/>
    </row>
    <row r="126" spans="2:6" ht="14.25" customHeight="1" x14ac:dyDescent="0.25">
      <c r="B126" s="6"/>
      <c r="C126" s="7"/>
      <c r="E126" s="8"/>
      <c r="F126" s="8"/>
    </row>
    <row r="127" spans="2:6" ht="14.25" customHeight="1" x14ac:dyDescent="0.25">
      <c r="B127" s="6"/>
      <c r="C127" s="7"/>
      <c r="E127" s="8"/>
      <c r="F127" s="8"/>
    </row>
    <row r="128" spans="2:6" ht="14.25" customHeight="1" x14ac:dyDescent="0.25">
      <c r="B128" s="6"/>
      <c r="C128" s="7"/>
      <c r="E128" s="8"/>
      <c r="F128" s="8"/>
    </row>
    <row r="129" spans="2:6" ht="14.25" customHeight="1" x14ac:dyDescent="0.25">
      <c r="B129" s="6"/>
      <c r="C129" s="7"/>
      <c r="E129" s="8"/>
      <c r="F129" s="8"/>
    </row>
    <row r="130" spans="2:6" ht="14.25" customHeight="1" x14ac:dyDescent="0.25">
      <c r="B130" s="6"/>
      <c r="C130" s="7"/>
      <c r="E130" s="8"/>
      <c r="F130" s="8"/>
    </row>
    <row r="131" spans="2:6" ht="14.25" customHeight="1" x14ac:dyDescent="0.25">
      <c r="B131" s="6"/>
      <c r="C131" s="7"/>
      <c r="E131" s="8"/>
      <c r="F131" s="8"/>
    </row>
    <row r="132" spans="2:6" ht="14.25" customHeight="1" x14ac:dyDescent="0.25">
      <c r="B132" s="6"/>
      <c r="C132" s="7"/>
      <c r="E132" s="8"/>
      <c r="F132" s="8"/>
    </row>
    <row r="133" spans="2:6" ht="14.25" customHeight="1" x14ac:dyDescent="0.25">
      <c r="B133" s="6"/>
      <c r="C133" s="7"/>
      <c r="E133" s="8"/>
      <c r="F133" s="8"/>
    </row>
    <row r="134" spans="2:6" ht="14.25" customHeight="1" x14ac:dyDescent="0.25">
      <c r="B134" s="6"/>
      <c r="C134" s="7"/>
      <c r="E134" s="8"/>
      <c r="F134" s="8"/>
    </row>
    <row r="135" spans="2:6" ht="14.25" customHeight="1" x14ac:dyDescent="0.25">
      <c r="B135" s="6"/>
      <c r="C135" s="7"/>
      <c r="E135" s="8"/>
      <c r="F135" s="8"/>
    </row>
    <row r="136" spans="2:6" ht="14.25" customHeight="1" x14ac:dyDescent="0.25">
      <c r="B136" s="6"/>
      <c r="C136" s="7"/>
      <c r="E136" s="8"/>
      <c r="F136" s="8"/>
    </row>
    <row r="137" spans="2:6" ht="14.25" customHeight="1" x14ac:dyDescent="0.25">
      <c r="B137" s="6"/>
      <c r="C137" s="7"/>
      <c r="E137" s="8"/>
      <c r="F137" s="8"/>
    </row>
    <row r="138" spans="2:6" ht="14.25" customHeight="1" x14ac:dyDescent="0.25">
      <c r="B138" s="6"/>
      <c r="C138" s="7"/>
      <c r="E138" s="8"/>
      <c r="F138" s="8"/>
    </row>
    <row r="139" spans="2:6" ht="14.25" customHeight="1" x14ac:dyDescent="0.25">
      <c r="B139" s="6"/>
      <c r="C139" s="7"/>
      <c r="E139" s="8"/>
      <c r="F139" s="8"/>
    </row>
    <row r="140" spans="2:6" ht="14.25" customHeight="1" x14ac:dyDescent="0.25">
      <c r="B140" s="6"/>
      <c r="C140" s="7"/>
      <c r="E140" s="8"/>
      <c r="F140" s="8"/>
    </row>
    <row r="141" spans="2:6" ht="14.25" customHeight="1" x14ac:dyDescent="0.25">
      <c r="B141" s="6"/>
      <c r="C141" s="7"/>
      <c r="E141" s="8"/>
      <c r="F141" s="8"/>
    </row>
    <row r="142" spans="2:6" ht="14.25" customHeight="1" x14ac:dyDescent="0.25">
      <c r="B142" s="6"/>
      <c r="C142" s="7"/>
      <c r="E142" s="8"/>
      <c r="F142" s="8"/>
    </row>
    <row r="143" spans="2:6" ht="14.25" customHeight="1" x14ac:dyDescent="0.25">
      <c r="B143" s="6"/>
      <c r="C143" s="7"/>
      <c r="E143" s="8"/>
      <c r="F143" s="8"/>
    </row>
    <row r="144" spans="2:6" ht="14.25" customHeight="1" x14ac:dyDescent="0.25">
      <c r="B144" s="6"/>
      <c r="C144" s="7"/>
      <c r="E144" s="8"/>
      <c r="F144" s="8"/>
    </row>
    <row r="145" spans="2:6" ht="14.25" customHeight="1" x14ac:dyDescent="0.25">
      <c r="B145" s="6"/>
      <c r="C145" s="7"/>
      <c r="E145" s="8"/>
      <c r="F145" s="8"/>
    </row>
    <row r="146" spans="2:6" ht="14.25" customHeight="1" x14ac:dyDescent="0.25">
      <c r="B146" s="6"/>
      <c r="C146" s="7"/>
      <c r="E146" s="8"/>
      <c r="F146" s="8"/>
    </row>
    <row r="147" spans="2:6" ht="14.25" customHeight="1" x14ac:dyDescent="0.25">
      <c r="B147" s="6"/>
      <c r="C147" s="7"/>
      <c r="E147" s="8"/>
      <c r="F147" s="8"/>
    </row>
    <row r="148" spans="2:6" ht="14.25" customHeight="1" x14ac:dyDescent="0.25">
      <c r="B148" s="6"/>
      <c r="C148" s="7"/>
      <c r="E148" s="8"/>
      <c r="F148" s="8"/>
    </row>
    <row r="149" spans="2:6" ht="14.25" customHeight="1" x14ac:dyDescent="0.25">
      <c r="B149" s="6"/>
      <c r="C149" s="7"/>
      <c r="E149" s="8"/>
      <c r="F149" s="8"/>
    </row>
    <row r="150" spans="2:6" ht="14.25" customHeight="1" x14ac:dyDescent="0.25">
      <c r="B150" s="6"/>
      <c r="C150" s="7"/>
      <c r="E150" s="8"/>
      <c r="F150" s="8"/>
    </row>
    <row r="151" spans="2:6" ht="14.25" customHeight="1" x14ac:dyDescent="0.25">
      <c r="B151" s="6"/>
      <c r="C151" s="7"/>
      <c r="E151" s="8"/>
      <c r="F151" s="8"/>
    </row>
    <row r="152" spans="2:6" ht="14.25" customHeight="1" x14ac:dyDescent="0.25">
      <c r="B152" s="6"/>
      <c r="C152" s="7"/>
      <c r="E152" s="8"/>
      <c r="F152" s="8"/>
    </row>
    <row r="153" spans="2:6" ht="14.25" customHeight="1" x14ac:dyDescent="0.25">
      <c r="B153" s="6"/>
      <c r="C153" s="7"/>
      <c r="E153" s="8"/>
      <c r="F153" s="8"/>
    </row>
    <row r="154" spans="2:6" ht="14.25" customHeight="1" x14ac:dyDescent="0.25">
      <c r="B154" s="6"/>
      <c r="C154" s="7"/>
      <c r="E154" s="8"/>
      <c r="F154" s="8"/>
    </row>
    <row r="155" spans="2:6" ht="14.25" customHeight="1" x14ac:dyDescent="0.25">
      <c r="B155" s="6"/>
      <c r="C155" s="7"/>
      <c r="E155" s="8"/>
      <c r="F155" s="8"/>
    </row>
    <row r="156" spans="2:6" ht="14.25" customHeight="1" x14ac:dyDescent="0.25">
      <c r="B156" s="6"/>
      <c r="C156" s="7"/>
      <c r="E156" s="8"/>
      <c r="F156" s="8"/>
    </row>
    <row r="157" spans="2:6" ht="14.25" customHeight="1" x14ac:dyDescent="0.25">
      <c r="B157" s="6"/>
      <c r="C157" s="7"/>
      <c r="E157" s="8"/>
      <c r="F157" s="8"/>
    </row>
    <row r="158" spans="2:6" ht="14.25" customHeight="1" x14ac:dyDescent="0.25">
      <c r="B158" s="6"/>
      <c r="C158" s="7"/>
      <c r="E158" s="8"/>
      <c r="F158" s="8"/>
    </row>
    <row r="159" spans="2:6" ht="14.25" customHeight="1" x14ac:dyDescent="0.25">
      <c r="B159" s="6"/>
      <c r="C159" s="7"/>
      <c r="E159" s="8"/>
      <c r="F159" s="8"/>
    </row>
    <row r="160" spans="2:6" ht="14.25" customHeight="1" x14ac:dyDescent="0.25">
      <c r="B160" s="6"/>
      <c r="C160" s="7"/>
      <c r="E160" s="8"/>
      <c r="F160" s="8"/>
    </row>
    <row r="161" spans="2:6" ht="14.25" customHeight="1" x14ac:dyDescent="0.25">
      <c r="B161" s="6"/>
      <c r="C161" s="7"/>
      <c r="E161" s="8"/>
      <c r="F161" s="8"/>
    </row>
    <row r="162" spans="2:6" ht="14.25" customHeight="1" x14ac:dyDescent="0.25">
      <c r="B162" s="6"/>
      <c r="C162" s="7"/>
      <c r="E162" s="8"/>
      <c r="F162" s="8"/>
    </row>
    <row r="163" spans="2:6" ht="14.25" customHeight="1" x14ac:dyDescent="0.25">
      <c r="B163" s="6"/>
      <c r="C163" s="7"/>
      <c r="E163" s="8"/>
      <c r="F163" s="8"/>
    </row>
    <row r="164" spans="2:6" ht="14.25" customHeight="1" x14ac:dyDescent="0.25">
      <c r="B164" s="6"/>
      <c r="C164" s="7"/>
      <c r="E164" s="8"/>
      <c r="F164" s="8"/>
    </row>
    <row r="165" spans="2:6" ht="14.25" customHeight="1" x14ac:dyDescent="0.25">
      <c r="B165" s="6"/>
      <c r="C165" s="7"/>
      <c r="E165" s="8"/>
      <c r="F165" s="8"/>
    </row>
    <row r="166" spans="2:6" ht="14.25" customHeight="1" x14ac:dyDescent="0.25">
      <c r="B166" s="6"/>
      <c r="C166" s="7"/>
      <c r="E166" s="8"/>
      <c r="F166" s="8"/>
    </row>
    <row r="167" spans="2:6" ht="14.25" customHeight="1" x14ac:dyDescent="0.25">
      <c r="B167" s="6"/>
      <c r="C167" s="7"/>
      <c r="E167" s="8"/>
      <c r="F167" s="8"/>
    </row>
    <row r="168" spans="2:6" ht="14.25" customHeight="1" x14ac:dyDescent="0.25">
      <c r="B168" s="6"/>
      <c r="C168" s="7"/>
      <c r="E168" s="8"/>
      <c r="F168" s="8"/>
    </row>
    <row r="169" spans="2:6" ht="14.25" customHeight="1" x14ac:dyDescent="0.25">
      <c r="B169" s="6"/>
      <c r="C169" s="7"/>
      <c r="E169" s="8"/>
      <c r="F169" s="8"/>
    </row>
    <row r="170" spans="2:6" ht="14.25" customHeight="1" x14ac:dyDescent="0.25">
      <c r="B170" s="6"/>
      <c r="C170" s="7"/>
      <c r="E170" s="8"/>
      <c r="F170" s="8"/>
    </row>
    <row r="171" spans="2:6" ht="14.25" customHeight="1" x14ac:dyDescent="0.25">
      <c r="B171" s="6"/>
      <c r="C171" s="7"/>
      <c r="E171" s="8"/>
      <c r="F171" s="8"/>
    </row>
    <row r="172" spans="2:6" ht="14.25" customHeight="1" x14ac:dyDescent="0.25">
      <c r="B172" s="6"/>
      <c r="C172" s="7"/>
      <c r="E172" s="8"/>
      <c r="F172" s="8"/>
    </row>
    <row r="173" spans="2:6" ht="14.25" customHeight="1" x14ac:dyDescent="0.25">
      <c r="B173" s="6"/>
      <c r="C173" s="7"/>
      <c r="E173" s="8"/>
      <c r="F173" s="8"/>
    </row>
    <row r="174" spans="2:6" ht="14.25" customHeight="1" x14ac:dyDescent="0.25">
      <c r="B174" s="6"/>
      <c r="C174" s="7"/>
      <c r="E174" s="8"/>
      <c r="F174" s="8"/>
    </row>
    <row r="175" spans="2:6" ht="14.25" customHeight="1" x14ac:dyDescent="0.25">
      <c r="B175" s="6"/>
      <c r="C175" s="7"/>
      <c r="E175" s="8"/>
      <c r="F175" s="8"/>
    </row>
    <row r="176" spans="2:6" ht="14.25" customHeight="1" x14ac:dyDescent="0.25">
      <c r="B176" s="6"/>
      <c r="C176" s="7"/>
      <c r="E176" s="8"/>
      <c r="F176" s="8"/>
    </row>
    <row r="177" spans="2:6" ht="14.25" customHeight="1" x14ac:dyDescent="0.25">
      <c r="B177" s="6"/>
      <c r="C177" s="7"/>
      <c r="E177" s="8"/>
      <c r="F177" s="8"/>
    </row>
    <row r="178" spans="2:6" ht="14.25" customHeight="1" x14ac:dyDescent="0.25">
      <c r="B178" s="6"/>
      <c r="C178" s="7"/>
      <c r="E178" s="8"/>
      <c r="F178" s="8"/>
    </row>
    <row r="179" spans="2:6" ht="14.25" customHeight="1" x14ac:dyDescent="0.25">
      <c r="B179" s="6"/>
      <c r="C179" s="7"/>
      <c r="E179" s="8"/>
      <c r="F179" s="8"/>
    </row>
    <row r="180" spans="2:6" ht="14.25" customHeight="1" x14ac:dyDescent="0.25">
      <c r="B180" s="6"/>
      <c r="C180" s="7"/>
      <c r="E180" s="8"/>
      <c r="F180" s="8"/>
    </row>
    <row r="181" spans="2:6" ht="14.25" customHeight="1" x14ac:dyDescent="0.25">
      <c r="B181" s="6"/>
      <c r="C181" s="7"/>
      <c r="E181" s="8"/>
      <c r="F181" s="8"/>
    </row>
    <row r="182" spans="2:6" ht="14.25" customHeight="1" x14ac:dyDescent="0.25">
      <c r="B182" s="6"/>
      <c r="C182" s="7"/>
      <c r="E182" s="8"/>
      <c r="F182" s="8"/>
    </row>
    <row r="183" spans="2:6" ht="14.25" customHeight="1" x14ac:dyDescent="0.25">
      <c r="B183" s="6"/>
      <c r="C183" s="7"/>
      <c r="E183" s="8"/>
      <c r="F183" s="8"/>
    </row>
    <row r="184" spans="2:6" ht="14.25" customHeight="1" x14ac:dyDescent="0.25">
      <c r="B184" s="6"/>
      <c r="C184" s="7"/>
      <c r="E184" s="8"/>
      <c r="F184" s="8"/>
    </row>
    <row r="185" spans="2:6" ht="14.25" customHeight="1" x14ac:dyDescent="0.25">
      <c r="B185" s="6"/>
      <c r="C185" s="7"/>
      <c r="E185" s="8"/>
      <c r="F185" s="8"/>
    </row>
    <row r="186" spans="2:6" ht="14.25" customHeight="1" x14ac:dyDescent="0.25">
      <c r="B186" s="6"/>
      <c r="C186" s="7"/>
      <c r="E186" s="8"/>
      <c r="F186" s="8"/>
    </row>
    <row r="187" spans="2:6" ht="14.25" customHeight="1" x14ac:dyDescent="0.25">
      <c r="B187" s="6"/>
      <c r="C187" s="7"/>
      <c r="E187" s="8"/>
      <c r="F187" s="8"/>
    </row>
    <row r="188" spans="2:6" ht="14.25" customHeight="1" x14ac:dyDescent="0.25">
      <c r="B188" s="6"/>
      <c r="C188" s="7"/>
      <c r="E188" s="8"/>
      <c r="F188" s="8"/>
    </row>
    <row r="189" spans="2:6" ht="14.25" customHeight="1" x14ac:dyDescent="0.25">
      <c r="B189" s="6"/>
      <c r="C189" s="7"/>
      <c r="E189" s="8"/>
      <c r="F189" s="8"/>
    </row>
    <row r="190" spans="2:6" ht="14.25" customHeight="1" x14ac:dyDescent="0.25">
      <c r="B190" s="6"/>
      <c r="C190" s="7"/>
      <c r="E190" s="8"/>
      <c r="F190" s="8"/>
    </row>
    <row r="191" spans="2:6" ht="14.25" customHeight="1" x14ac:dyDescent="0.25">
      <c r="B191" s="6"/>
      <c r="C191" s="7"/>
      <c r="E191" s="8"/>
      <c r="F191" s="8"/>
    </row>
    <row r="192" spans="2:6" ht="14.25" customHeight="1" x14ac:dyDescent="0.25">
      <c r="B192" s="6"/>
      <c r="C192" s="7"/>
      <c r="E192" s="8"/>
      <c r="F192" s="8"/>
    </row>
    <row r="193" spans="2:6" ht="14.25" customHeight="1" x14ac:dyDescent="0.25">
      <c r="B193" s="6"/>
      <c r="C193" s="7"/>
      <c r="E193" s="8"/>
      <c r="F193" s="8"/>
    </row>
    <row r="194" spans="2:6" ht="14.25" customHeight="1" x14ac:dyDescent="0.25">
      <c r="B194" s="6"/>
      <c r="C194" s="7"/>
      <c r="E194" s="8"/>
      <c r="F194" s="8"/>
    </row>
    <row r="195" spans="2:6" ht="14.25" customHeight="1" x14ac:dyDescent="0.25">
      <c r="B195" s="6"/>
      <c r="C195" s="7"/>
      <c r="E195" s="8"/>
      <c r="F195" s="8"/>
    </row>
    <row r="196" spans="2:6" ht="14.25" customHeight="1" x14ac:dyDescent="0.25">
      <c r="B196" s="6"/>
      <c r="C196" s="7"/>
      <c r="E196" s="8"/>
      <c r="F196" s="8"/>
    </row>
    <row r="197" spans="2:6" ht="14.25" customHeight="1" x14ac:dyDescent="0.25">
      <c r="B197" s="6"/>
      <c r="C197" s="7"/>
      <c r="E197" s="8"/>
      <c r="F197" s="8"/>
    </row>
    <row r="198" spans="2:6" ht="14.25" customHeight="1" x14ac:dyDescent="0.25">
      <c r="B198" s="6"/>
      <c r="C198" s="7"/>
      <c r="E198" s="8"/>
      <c r="F198" s="8"/>
    </row>
    <row r="199" spans="2:6" ht="14.25" customHeight="1" x14ac:dyDescent="0.25">
      <c r="B199" s="6"/>
      <c r="C199" s="7"/>
      <c r="E199" s="8"/>
      <c r="F199" s="8"/>
    </row>
    <row r="200" spans="2:6" ht="14.25" customHeight="1" x14ac:dyDescent="0.25">
      <c r="B200" s="6"/>
      <c r="C200" s="7"/>
      <c r="E200" s="8"/>
      <c r="F200" s="8"/>
    </row>
    <row r="201" spans="2:6" ht="14.25" customHeight="1" x14ac:dyDescent="0.25">
      <c r="B201" s="6"/>
      <c r="C201" s="7"/>
      <c r="E201" s="8"/>
      <c r="F201" s="8"/>
    </row>
    <row r="202" spans="2:6" ht="14.25" customHeight="1" x14ac:dyDescent="0.25">
      <c r="B202" s="6"/>
      <c r="C202" s="7"/>
      <c r="E202" s="8"/>
      <c r="F202" s="8"/>
    </row>
    <row r="203" spans="2:6" ht="14.25" customHeight="1" x14ac:dyDescent="0.25">
      <c r="B203" s="6"/>
      <c r="C203" s="7"/>
      <c r="E203" s="8"/>
      <c r="F203" s="8"/>
    </row>
    <row r="204" spans="2:6" ht="14.25" customHeight="1" x14ac:dyDescent="0.25">
      <c r="B204" s="6"/>
      <c r="C204" s="7"/>
      <c r="E204" s="8"/>
      <c r="F204" s="8"/>
    </row>
    <row r="205" spans="2:6" ht="14.25" customHeight="1" x14ac:dyDescent="0.25">
      <c r="B205" s="6"/>
      <c r="C205" s="7"/>
      <c r="E205" s="8"/>
      <c r="F205" s="8"/>
    </row>
    <row r="206" spans="2:6" ht="14.25" customHeight="1" x14ac:dyDescent="0.25">
      <c r="B206" s="6"/>
      <c r="C206" s="7"/>
      <c r="E206" s="8"/>
      <c r="F206" s="8"/>
    </row>
    <row r="207" spans="2:6" ht="14.25" customHeight="1" x14ac:dyDescent="0.25">
      <c r="B207" s="6"/>
      <c r="C207" s="7"/>
      <c r="E207" s="8"/>
      <c r="F207" s="8"/>
    </row>
    <row r="208" spans="2:6" ht="14.25" customHeight="1" x14ac:dyDescent="0.25">
      <c r="B208" s="6"/>
      <c r="C208" s="7"/>
      <c r="E208" s="8"/>
      <c r="F208" s="8"/>
    </row>
    <row r="209" spans="2:6" ht="14.25" customHeight="1" x14ac:dyDescent="0.25">
      <c r="B209" s="6"/>
      <c r="C209" s="7"/>
      <c r="E209" s="8"/>
      <c r="F209" s="8"/>
    </row>
    <row r="210" spans="2:6" ht="14.25" customHeight="1" x14ac:dyDescent="0.25">
      <c r="B210" s="6"/>
      <c r="C210" s="7"/>
      <c r="E210" s="8"/>
      <c r="F210" s="8"/>
    </row>
    <row r="211" spans="2:6" ht="14.25" customHeight="1" x14ac:dyDescent="0.25">
      <c r="B211" s="6"/>
      <c r="C211" s="7"/>
      <c r="E211" s="8"/>
      <c r="F211" s="8"/>
    </row>
    <row r="212" spans="2:6" ht="14.25" customHeight="1" x14ac:dyDescent="0.25">
      <c r="B212" s="6"/>
      <c r="C212" s="7"/>
      <c r="E212" s="8"/>
      <c r="F212" s="8"/>
    </row>
    <row r="213" spans="2:6" ht="14.25" customHeight="1" x14ac:dyDescent="0.25">
      <c r="B213" s="6"/>
      <c r="C213" s="7"/>
      <c r="E213" s="8"/>
      <c r="F213" s="8"/>
    </row>
    <row r="214" spans="2:6" ht="14.25" customHeight="1" x14ac:dyDescent="0.25">
      <c r="B214" s="6"/>
      <c r="C214" s="7"/>
      <c r="E214" s="8"/>
      <c r="F214" s="8"/>
    </row>
    <row r="215" spans="2:6" ht="14.25" customHeight="1" x14ac:dyDescent="0.25">
      <c r="B215" s="6"/>
      <c r="C215" s="7"/>
      <c r="E215" s="8"/>
      <c r="F215" s="8"/>
    </row>
    <row r="216" spans="2:6" ht="14.25" customHeight="1" x14ac:dyDescent="0.25">
      <c r="B216" s="6"/>
      <c r="C216" s="7"/>
      <c r="E216" s="8"/>
      <c r="F216" s="8"/>
    </row>
    <row r="217" spans="2:6" ht="14.25" customHeight="1" x14ac:dyDescent="0.25">
      <c r="B217" s="6"/>
      <c r="C217" s="7"/>
      <c r="E217" s="8"/>
      <c r="F217" s="8"/>
    </row>
    <row r="218" spans="2:6" ht="14.25" customHeight="1" x14ac:dyDescent="0.25">
      <c r="B218" s="6"/>
      <c r="C218" s="7"/>
      <c r="E218" s="8"/>
      <c r="F218" s="8"/>
    </row>
    <row r="219" spans="2:6" ht="14.25" customHeight="1" x14ac:dyDescent="0.25">
      <c r="B219" s="6"/>
      <c r="C219" s="7"/>
      <c r="E219" s="8"/>
      <c r="F219" s="8"/>
    </row>
    <row r="220" spans="2:6" ht="14.25" customHeight="1" x14ac:dyDescent="0.25">
      <c r="B220" s="6"/>
      <c r="C220" s="7"/>
      <c r="E220" s="8"/>
      <c r="F220" s="8"/>
    </row>
    <row r="221" spans="2:6" ht="14.25" customHeight="1" x14ac:dyDescent="0.25">
      <c r="B221" s="6"/>
      <c r="C221" s="7"/>
      <c r="E221" s="8"/>
      <c r="F221" s="8"/>
    </row>
    <row r="222" spans="2:6" ht="14.25" customHeight="1" x14ac:dyDescent="0.25">
      <c r="B222" s="6"/>
      <c r="C222" s="7"/>
      <c r="E222" s="8"/>
      <c r="F222" s="8"/>
    </row>
    <row r="223" spans="2:6" ht="14.25" customHeight="1" x14ac:dyDescent="0.25">
      <c r="B223" s="6"/>
      <c r="C223" s="7"/>
      <c r="E223" s="8"/>
      <c r="F223" s="8"/>
    </row>
    <row r="224" spans="2:6" ht="14.25" customHeight="1" x14ac:dyDescent="0.25">
      <c r="B224" s="6"/>
      <c r="C224" s="7"/>
      <c r="E224" s="8"/>
      <c r="F224" s="8"/>
    </row>
    <row r="225" spans="2:6" ht="14.25" customHeight="1" x14ac:dyDescent="0.25">
      <c r="B225" s="6"/>
      <c r="C225" s="7"/>
      <c r="E225" s="8"/>
      <c r="F225" s="8"/>
    </row>
    <row r="226" spans="2:6" ht="14.25" customHeight="1" x14ac:dyDescent="0.25">
      <c r="B226" s="6"/>
      <c r="C226" s="7"/>
      <c r="E226" s="8"/>
      <c r="F226" s="8"/>
    </row>
    <row r="227" spans="2:6" ht="14.25" customHeight="1" x14ac:dyDescent="0.25">
      <c r="B227" s="6"/>
      <c r="C227" s="7"/>
      <c r="E227" s="8"/>
      <c r="F227" s="8"/>
    </row>
    <row r="228" spans="2:6" ht="14.25" customHeight="1" x14ac:dyDescent="0.25">
      <c r="B228" s="6"/>
      <c r="C228" s="7"/>
      <c r="E228" s="8"/>
      <c r="F228" s="8"/>
    </row>
    <row r="229" spans="2:6" ht="14.25" customHeight="1" x14ac:dyDescent="0.25">
      <c r="B229" s="6"/>
      <c r="C229" s="7"/>
      <c r="E229" s="8"/>
      <c r="F229" s="8"/>
    </row>
    <row r="230" spans="2:6" ht="14.25" customHeight="1" x14ac:dyDescent="0.25">
      <c r="B230" s="6"/>
      <c r="C230" s="7"/>
      <c r="E230" s="8"/>
      <c r="F230" s="8"/>
    </row>
    <row r="231" spans="2:6" ht="14.25" customHeight="1" x14ac:dyDescent="0.25">
      <c r="B231" s="6"/>
      <c r="C231" s="7"/>
      <c r="E231" s="8"/>
      <c r="F231" s="8"/>
    </row>
    <row r="232" spans="2:6" ht="14.25" customHeight="1" x14ac:dyDescent="0.25">
      <c r="B232" s="6"/>
      <c r="C232" s="7"/>
      <c r="E232" s="8"/>
      <c r="F232" s="8"/>
    </row>
    <row r="233" spans="2:6" ht="14.25" customHeight="1" x14ac:dyDescent="0.25">
      <c r="B233" s="6"/>
      <c r="C233" s="7"/>
      <c r="E233" s="8"/>
      <c r="F233" s="8"/>
    </row>
    <row r="234" spans="2:6" ht="14.25" customHeight="1" x14ac:dyDescent="0.25">
      <c r="B234" s="6"/>
      <c r="C234" s="7"/>
      <c r="E234" s="8"/>
      <c r="F234" s="8"/>
    </row>
    <row r="235" spans="2:6" ht="14.25" customHeight="1" x14ac:dyDescent="0.25">
      <c r="B235" s="6"/>
      <c r="C235" s="7"/>
      <c r="E235" s="8"/>
      <c r="F235" s="8"/>
    </row>
    <row r="236" spans="2:6" ht="14.25" customHeight="1" x14ac:dyDescent="0.25">
      <c r="B236" s="6"/>
      <c r="C236" s="7"/>
      <c r="E236" s="8"/>
      <c r="F236" s="8"/>
    </row>
    <row r="237" spans="2:6" ht="14.25" customHeight="1" x14ac:dyDescent="0.25">
      <c r="B237" s="6"/>
      <c r="C237" s="7"/>
      <c r="E237" s="8"/>
      <c r="F237" s="8"/>
    </row>
    <row r="238" spans="2:6" ht="14.25" customHeight="1" x14ac:dyDescent="0.25">
      <c r="B238" s="6"/>
      <c r="C238" s="7"/>
      <c r="E238" s="8"/>
      <c r="F238" s="8"/>
    </row>
    <row r="239" spans="2:6" ht="14.25" customHeight="1" x14ac:dyDescent="0.25">
      <c r="B239" s="6"/>
      <c r="C239" s="7"/>
      <c r="E239" s="8"/>
      <c r="F239" s="8"/>
    </row>
    <row r="240" spans="2:6" ht="14.25" customHeight="1" x14ac:dyDescent="0.25">
      <c r="B240" s="6"/>
      <c r="C240" s="7"/>
      <c r="E240" s="8"/>
      <c r="F240" s="8"/>
    </row>
    <row r="241" spans="2:6" ht="14.25" customHeight="1" x14ac:dyDescent="0.25">
      <c r="B241" s="6"/>
      <c r="C241" s="7"/>
      <c r="E241" s="8"/>
      <c r="F241" s="8"/>
    </row>
    <row r="242" spans="2:6" ht="14.25" customHeight="1" x14ac:dyDescent="0.25">
      <c r="B242" s="6"/>
      <c r="C242" s="7"/>
      <c r="E242" s="8"/>
      <c r="F242" s="8"/>
    </row>
    <row r="243" spans="2:6" ht="14.25" customHeight="1" x14ac:dyDescent="0.25">
      <c r="B243" s="6"/>
      <c r="C243" s="7"/>
      <c r="E243" s="8"/>
      <c r="F243" s="8"/>
    </row>
    <row r="244" spans="2:6" ht="14.25" customHeight="1" x14ac:dyDescent="0.25">
      <c r="B244" s="6"/>
      <c r="C244" s="7"/>
      <c r="E244" s="8"/>
      <c r="F244" s="8"/>
    </row>
    <row r="245" spans="2:6" ht="14.25" customHeight="1" x14ac:dyDescent="0.25">
      <c r="B245" s="6"/>
      <c r="C245" s="7"/>
      <c r="E245" s="8"/>
      <c r="F245" s="8"/>
    </row>
    <row r="246" spans="2:6" ht="14.25" customHeight="1" x14ac:dyDescent="0.25">
      <c r="B246" s="6"/>
      <c r="C246" s="7"/>
      <c r="E246" s="8"/>
      <c r="F246" s="8"/>
    </row>
    <row r="247" spans="2:6" ht="14.25" customHeight="1" x14ac:dyDescent="0.25">
      <c r="B247" s="6"/>
      <c r="C247" s="7"/>
      <c r="E247" s="8"/>
      <c r="F247" s="8"/>
    </row>
    <row r="248" spans="2:6" ht="14.25" customHeight="1" x14ac:dyDescent="0.25">
      <c r="B248" s="6"/>
      <c r="C248" s="7"/>
      <c r="E248" s="8"/>
      <c r="F248" s="8"/>
    </row>
    <row r="249" spans="2:6" ht="14.25" customHeight="1" x14ac:dyDescent="0.25">
      <c r="B249" s="6"/>
      <c r="C249" s="7"/>
      <c r="E249" s="8"/>
      <c r="F249" s="8"/>
    </row>
    <row r="250" spans="2:6" ht="14.25" customHeight="1" x14ac:dyDescent="0.25">
      <c r="B250" s="6"/>
      <c r="C250" s="7"/>
      <c r="E250" s="8"/>
      <c r="F250" s="8"/>
    </row>
    <row r="251" spans="2:6" ht="14.25" customHeight="1" x14ac:dyDescent="0.25">
      <c r="B251" s="6"/>
      <c r="C251" s="7"/>
      <c r="E251" s="8"/>
      <c r="F251" s="8"/>
    </row>
    <row r="252" spans="2:6" ht="14.25" customHeight="1" x14ac:dyDescent="0.25">
      <c r="B252" s="6"/>
      <c r="C252" s="7"/>
      <c r="E252" s="8"/>
      <c r="F252" s="8"/>
    </row>
    <row r="253" spans="2:6" ht="14.25" customHeight="1" x14ac:dyDescent="0.25">
      <c r="B253" s="6"/>
      <c r="C253" s="7"/>
      <c r="E253" s="8"/>
      <c r="F253" s="8"/>
    </row>
    <row r="254" spans="2:6" ht="14.25" customHeight="1" x14ac:dyDescent="0.25">
      <c r="B254" s="6"/>
      <c r="C254" s="7"/>
      <c r="E254" s="8"/>
      <c r="F254" s="8"/>
    </row>
    <row r="255" spans="2:6" ht="14.25" customHeight="1" x14ac:dyDescent="0.25">
      <c r="B255" s="6"/>
      <c r="C255" s="7"/>
      <c r="E255" s="8"/>
      <c r="F255" s="8"/>
    </row>
    <row r="256" spans="2:6" ht="14.25" customHeight="1" x14ac:dyDescent="0.25">
      <c r="B256" s="6"/>
      <c r="C256" s="7"/>
      <c r="E256" s="8"/>
      <c r="F256" s="8"/>
    </row>
    <row r="257" spans="2:6" ht="14.25" customHeight="1" x14ac:dyDescent="0.25">
      <c r="B257" s="6"/>
      <c r="C257" s="7"/>
      <c r="E257" s="8"/>
      <c r="F257" s="8"/>
    </row>
    <row r="258" spans="2:6" ht="14.25" customHeight="1" x14ac:dyDescent="0.25">
      <c r="B258" s="6"/>
      <c r="C258" s="7"/>
      <c r="E258" s="8"/>
      <c r="F258" s="8"/>
    </row>
    <row r="259" spans="2:6" ht="14.25" customHeight="1" x14ac:dyDescent="0.25">
      <c r="B259" s="6"/>
      <c r="C259" s="7"/>
      <c r="E259" s="8"/>
      <c r="F259" s="8"/>
    </row>
    <row r="260" spans="2:6" ht="14.25" customHeight="1" x14ac:dyDescent="0.25">
      <c r="B260" s="6"/>
      <c r="C260" s="7"/>
      <c r="E260" s="8"/>
      <c r="F260" s="8"/>
    </row>
    <row r="261" spans="2:6" ht="14.25" customHeight="1" x14ac:dyDescent="0.25">
      <c r="B261" s="6"/>
      <c r="C261" s="7"/>
      <c r="E261" s="8"/>
      <c r="F261" s="8"/>
    </row>
    <row r="262" spans="2:6" ht="14.25" customHeight="1" x14ac:dyDescent="0.25">
      <c r="B262" s="6"/>
      <c r="C262" s="7"/>
      <c r="E262" s="8"/>
      <c r="F262" s="8"/>
    </row>
    <row r="263" spans="2:6" ht="14.25" customHeight="1" x14ac:dyDescent="0.25">
      <c r="B263" s="6"/>
      <c r="C263" s="7"/>
      <c r="E263" s="8"/>
      <c r="F263" s="8"/>
    </row>
    <row r="264" spans="2:6" ht="14.25" customHeight="1" x14ac:dyDescent="0.25">
      <c r="B264" s="6"/>
      <c r="C264" s="7"/>
      <c r="E264" s="8"/>
      <c r="F264" s="8"/>
    </row>
    <row r="265" spans="2:6" ht="14.25" customHeight="1" x14ac:dyDescent="0.25">
      <c r="B265" s="6"/>
      <c r="C265" s="7"/>
      <c r="E265" s="8"/>
      <c r="F265" s="8"/>
    </row>
    <row r="266" spans="2:6" ht="14.25" customHeight="1" x14ac:dyDescent="0.25">
      <c r="B266" s="6"/>
      <c r="C266" s="7"/>
      <c r="E266" s="8"/>
      <c r="F266" s="8"/>
    </row>
    <row r="267" spans="2:6" ht="14.25" customHeight="1" x14ac:dyDescent="0.25">
      <c r="B267" s="6"/>
      <c r="C267" s="7"/>
      <c r="E267" s="8"/>
      <c r="F267" s="8"/>
    </row>
    <row r="268" spans="2:6" ht="14.25" customHeight="1" x14ac:dyDescent="0.25">
      <c r="B268" s="6"/>
      <c r="C268" s="7"/>
      <c r="E268" s="8"/>
      <c r="F268" s="8"/>
    </row>
    <row r="269" spans="2:6" ht="14.25" customHeight="1" x14ac:dyDescent="0.25">
      <c r="B269" s="6"/>
      <c r="C269" s="7"/>
      <c r="E269" s="8"/>
      <c r="F269" s="8"/>
    </row>
    <row r="270" spans="2:6" ht="14.25" customHeight="1" x14ac:dyDescent="0.25">
      <c r="B270" s="6"/>
      <c r="C270" s="7"/>
      <c r="E270" s="8"/>
      <c r="F270" s="8"/>
    </row>
    <row r="271" spans="2:6" ht="14.25" customHeight="1" x14ac:dyDescent="0.25">
      <c r="B271" s="6"/>
      <c r="C271" s="7"/>
      <c r="E271" s="8"/>
      <c r="F271" s="8"/>
    </row>
    <row r="272" spans="2:6" ht="14.25" customHeight="1" x14ac:dyDescent="0.25">
      <c r="B272" s="6"/>
      <c r="C272" s="7"/>
      <c r="E272" s="8"/>
      <c r="F272" s="8"/>
    </row>
    <row r="273" spans="2:6" ht="14.25" customHeight="1" x14ac:dyDescent="0.25">
      <c r="B273" s="6"/>
      <c r="C273" s="7"/>
      <c r="E273" s="8"/>
      <c r="F273" s="8"/>
    </row>
    <row r="274" spans="2:6" ht="14.25" customHeight="1" x14ac:dyDescent="0.25">
      <c r="B274" s="6"/>
      <c r="C274" s="7"/>
      <c r="E274" s="8"/>
      <c r="F274" s="8"/>
    </row>
    <row r="275" spans="2:6" ht="14.25" customHeight="1" x14ac:dyDescent="0.25">
      <c r="B275" s="6"/>
      <c r="C275" s="7"/>
      <c r="E275" s="8"/>
      <c r="F275" s="8"/>
    </row>
    <row r="276" spans="2:6" ht="14.25" customHeight="1" x14ac:dyDescent="0.25">
      <c r="B276" s="6"/>
      <c r="C276" s="7"/>
      <c r="E276" s="8"/>
      <c r="F276" s="8"/>
    </row>
    <row r="277" spans="2:6" ht="14.25" customHeight="1" x14ac:dyDescent="0.25">
      <c r="B277" s="6"/>
      <c r="C277" s="7"/>
      <c r="E277" s="8"/>
      <c r="F277" s="8"/>
    </row>
    <row r="278" spans="2:6" ht="14.25" customHeight="1" x14ac:dyDescent="0.25">
      <c r="B278" s="6"/>
      <c r="C278" s="7"/>
      <c r="E278" s="8"/>
      <c r="F278" s="8"/>
    </row>
    <row r="279" spans="2:6" ht="14.25" customHeight="1" x14ac:dyDescent="0.25">
      <c r="B279" s="6"/>
      <c r="C279" s="7"/>
      <c r="E279" s="8"/>
      <c r="F279" s="8"/>
    </row>
    <row r="280" spans="2:6" ht="14.25" customHeight="1" x14ac:dyDescent="0.25">
      <c r="B280" s="6"/>
      <c r="C280" s="7"/>
      <c r="E280" s="8"/>
      <c r="F280" s="8"/>
    </row>
    <row r="281" spans="2:6" ht="14.25" customHeight="1" x14ac:dyDescent="0.25">
      <c r="B281" s="6"/>
      <c r="C281" s="7"/>
      <c r="E281" s="8"/>
      <c r="F281" s="8"/>
    </row>
    <row r="282" spans="2:6" ht="14.25" customHeight="1" x14ac:dyDescent="0.25">
      <c r="B282" s="6"/>
      <c r="C282" s="7"/>
      <c r="E282" s="8"/>
      <c r="F282" s="8"/>
    </row>
    <row r="283" spans="2:6" ht="14.25" customHeight="1" x14ac:dyDescent="0.25">
      <c r="B283" s="6"/>
      <c r="C283" s="7"/>
      <c r="E283" s="8"/>
      <c r="F283" s="8"/>
    </row>
    <row r="284" spans="2:6" ht="14.25" customHeight="1" x14ac:dyDescent="0.25">
      <c r="B284" s="6"/>
      <c r="C284" s="7"/>
      <c r="E284" s="8"/>
      <c r="F284" s="8"/>
    </row>
    <row r="285" spans="2:6" ht="14.25" customHeight="1" x14ac:dyDescent="0.25">
      <c r="B285" s="6"/>
      <c r="C285" s="7"/>
      <c r="E285" s="8"/>
      <c r="F285" s="8"/>
    </row>
    <row r="286" spans="2:6" ht="14.25" customHeight="1" x14ac:dyDescent="0.25">
      <c r="B286" s="6"/>
      <c r="C286" s="7"/>
      <c r="E286" s="8"/>
      <c r="F286" s="8"/>
    </row>
    <row r="287" spans="2:6" ht="14.25" customHeight="1" x14ac:dyDescent="0.25">
      <c r="B287" s="6"/>
      <c r="C287" s="7"/>
      <c r="E287" s="8"/>
      <c r="F287" s="8"/>
    </row>
    <row r="288" spans="2:6" ht="14.25" customHeight="1" x14ac:dyDescent="0.25">
      <c r="B288" s="6"/>
      <c r="C288" s="7"/>
      <c r="E288" s="8"/>
      <c r="F288" s="8"/>
    </row>
    <row r="289" spans="2:6" ht="14.25" customHeight="1" x14ac:dyDescent="0.25">
      <c r="B289" s="6"/>
      <c r="C289" s="7"/>
      <c r="E289" s="8"/>
      <c r="F289" s="8"/>
    </row>
    <row r="290" spans="2:6" ht="14.25" customHeight="1" x14ac:dyDescent="0.25">
      <c r="B290" s="6"/>
      <c r="C290" s="7"/>
      <c r="E290" s="8"/>
      <c r="F290" s="8"/>
    </row>
    <row r="291" spans="2:6" ht="14.25" customHeight="1" x14ac:dyDescent="0.25">
      <c r="B291" s="6"/>
      <c r="C291" s="7"/>
      <c r="E291" s="8"/>
      <c r="F291" s="8"/>
    </row>
    <row r="292" spans="2:6" ht="14.25" customHeight="1" x14ac:dyDescent="0.25">
      <c r="B292" s="6"/>
      <c r="C292" s="7"/>
      <c r="E292" s="8"/>
      <c r="F292" s="8"/>
    </row>
    <row r="293" spans="2:6" ht="14.25" customHeight="1" x14ac:dyDescent="0.25">
      <c r="B293" s="6"/>
      <c r="C293" s="7"/>
      <c r="E293" s="8"/>
      <c r="F293" s="8"/>
    </row>
    <row r="294" spans="2:6" ht="14.25" customHeight="1" x14ac:dyDescent="0.25">
      <c r="B294" s="6"/>
      <c r="C294" s="7"/>
      <c r="E294" s="8"/>
      <c r="F294" s="8"/>
    </row>
    <row r="295" spans="2:6" ht="14.25" customHeight="1" x14ac:dyDescent="0.25">
      <c r="B295" s="6"/>
      <c r="C295" s="7"/>
      <c r="E295" s="8"/>
      <c r="F295" s="8"/>
    </row>
    <row r="296" spans="2:6" ht="14.25" customHeight="1" x14ac:dyDescent="0.25">
      <c r="B296" s="6"/>
      <c r="C296" s="7"/>
      <c r="E296" s="8"/>
      <c r="F296" s="8"/>
    </row>
    <row r="297" spans="2:6" ht="14.25" customHeight="1" x14ac:dyDescent="0.25">
      <c r="B297" s="6"/>
      <c r="C297" s="7"/>
      <c r="E297" s="8"/>
      <c r="F297" s="8"/>
    </row>
    <row r="298" spans="2:6" ht="14.25" customHeight="1" x14ac:dyDescent="0.25">
      <c r="B298" s="6"/>
      <c r="C298" s="7"/>
      <c r="E298" s="8"/>
      <c r="F298" s="8"/>
    </row>
    <row r="299" spans="2:6" ht="14.25" customHeight="1" x14ac:dyDescent="0.25">
      <c r="B299" s="6"/>
      <c r="C299" s="7"/>
      <c r="E299" s="8"/>
      <c r="F299" s="8"/>
    </row>
    <row r="300" spans="2:6" ht="14.25" customHeight="1" x14ac:dyDescent="0.25">
      <c r="B300" s="6"/>
      <c r="C300" s="7"/>
      <c r="E300" s="8"/>
      <c r="F300" s="8"/>
    </row>
    <row r="301" spans="2:6" ht="14.25" customHeight="1" x14ac:dyDescent="0.25">
      <c r="B301" s="6"/>
      <c r="C301" s="7"/>
      <c r="E301" s="8"/>
      <c r="F301" s="8"/>
    </row>
    <row r="302" spans="2:6" ht="14.25" customHeight="1" x14ac:dyDescent="0.25">
      <c r="B302" s="6"/>
      <c r="C302" s="7"/>
      <c r="E302" s="8"/>
      <c r="F302" s="8"/>
    </row>
    <row r="303" spans="2:6" ht="14.25" customHeight="1" x14ac:dyDescent="0.25">
      <c r="B303" s="6"/>
      <c r="C303" s="7"/>
      <c r="E303" s="8"/>
      <c r="F303" s="8"/>
    </row>
    <row r="304" spans="2:6" ht="14.25" customHeight="1" x14ac:dyDescent="0.25">
      <c r="B304" s="6"/>
      <c r="C304" s="7"/>
      <c r="E304" s="8"/>
      <c r="F304" s="8"/>
    </row>
    <row r="305" spans="2:6" ht="14.25" customHeight="1" x14ac:dyDescent="0.25">
      <c r="B305" s="6"/>
      <c r="C305" s="7"/>
      <c r="E305" s="8"/>
      <c r="F305" s="8"/>
    </row>
    <row r="306" spans="2:6" ht="14.25" customHeight="1" x14ac:dyDescent="0.25">
      <c r="B306" s="6"/>
      <c r="C306" s="7"/>
      <c r="E306" s="8"/>
      <c r="F306" s="8"/>
    </row>
    <row r="307" spans="2:6" ht="14.25" customHeight="1" x14ac:dyDescent="0.25">
      <c r="B307" s="6"/>
      <c r="C307" s="7"/>
      <c r="E307" s="8"/>
      <c r="F307" s="8"/>
    </row>
    <row r="308" spans="2:6" ht="14.25" customHeight="1" x14ac:dyDescent="0.25">
      <c r="B308" s="6"/>
      <c r="C308" s="7"/>
      <c r="E308" s="8"/>
      <c r="F308" s="8"/>
    </row>
    <row r="309" spans="2:6" ht="14.25" customHeight="1" x14ac:dyDescent="0.25">
      <c r="B309" s="6"/>
      <c r="C309" s="7"/>
      <c r="E309" s="8"/>
      <c r="F309" s="8"/>
    </row>
    <row r="310" spans="2:6" ht="14.25" customHeight="1" x14ac:dyDescent="0.25">
      <c r="B310" s="6"/>
      <c r="C310" s="7"/>
      <c r="E310" s="8"/>
      <c r="F310" s="8"/>
    </row>
    <row r="311" spans="2:6" ht="14.25" customHeight="1" x14ac:dyDescent="0.25">
      <c r="B311" s="6"/>
      <c r="C311" s="7"/>
      <c r="E311" s="8"/>
      <c r="F311" s="8"/>
    </row>
    <row r="312" spans="2:6" ht="14.25" customHeight="1" x14ac:dyDescent="0.25">
      <c r="B312" s="6"/>
      <c r="C312" s="7"/>
      <c r="E312" s="8"/>
      <c r="F312" s="8"/>
    </row>
    <row r="313" spans="2:6" ht="14.25" customHeight="1" x14ac:dyDescent="0.25">
      <c r="B313" s="6"/>
      <c r="C313" s="7"/>
      <c r="E313" s="8"/>
      <c r="F313" s="8"/>
    </row>
    <row r="314" spans="2:6" ht="14.25" customHeight="1" x14ac:dyDescent="0.25">
      <c r="B314" s="6"/>
      <c r="C314" s="7"/>
      <c r="E314" s="8"/>
      <c r="F314" s="8"/>
    </row>
    <row r="315" spans="2:6" ht="14.25" customHeight="1" x14ac:dyDescent="0.25">
      <c r="B315" s="6"/>
      <c r="C315" s="7"/>
      <c r="E315" s="8"/>
      <c r="F315" s="8"/>
    </row>
    <row r="316" spans="2:6" ht="14.25" customHeight="1" x14ac:dyDescent="0.25">
      <c r="B316" s="6"/>
      <c r="C316" s="7"/>
      <c r="E316" s="8"/>
      <c r="F316" s="8"/>
    </row>
    <row r="317" spans="2:6" ht="14.25" customHeight="1" x14ac:dyDescent="0.25">
      <c r="B317" s="6"/>
      <c r="C317" s="7"/>
      <c r="E317" s="8"/>
      <c r="F317" s="8"/>
    </row>
    <row r="318" spans="2:6" ht="14.25" customHeight="1" x14ac:dyDescent="0.25">
      <c r="B318" s="6"/>
      <c r="C318" s="7"/>
      <c r="E318" s="8"/>
      <c r="F318" s="8"/>
    </row>
    <row r="319" spans="2:6" ht="14.25" customHeight="1" x14ac:dyDescent="0.25">
      <c r="B319" s="6"/>
      <c r="C319" s="7"/>
      <c r="E319" s="8"/>
      <c r="F319" s="8"/>
    </row>
    <row r="320" spans="2:6" ht="14.25" customHeight="1" x14ac:dyDescent="0.25">
      <c r="B320" s="6"/>
      <c r="C320" s="7"/>
      <c r="E320" s="8"/>
      <c r="F320" s="8"/>
    </row>
    <row r="321" spans="2:6" ht="14.25" customHeight="1" x14ac:dyDescent="0.25">
      <c r="B321" s="6"/>
      <c r="C321" s="7"/>
      <c r="E321" s="8"/>
      <c r="F321" s="8"/>
    </row>
    <row r="322" spans="2:6" ht="14.25" customHeight="1" x14ac:dyDescent="0.25">
      <c r="B322" s="6"/>
      <c r="C322" s="7"/>
      <c r="E322" s="8"/>
      <c r="F322" s="8"/>
    </row>
    <row r="323" spans="2:6" ht="14.25" customHeight="1" x14ac:dyDescent="0.25">
      <c r="B323" s="6"/>
      <c r="C323" s="7"/>
      <c r="E323" s="8"/>
      <c r="F323" s="8"/>
    </row>
    <row r="324" spans="2:6" ht="14.25" customHeight="1" x14ac:dyDescent="0.25">
      <c r="B324" s="6"/>
      <c r="C324" s="7"/>
      <c r="E324" s="8"/>
      <c r="F324" s="8"/>
    </row>
    <row r="325" spans="2:6" ht="14.25" customHeight="1" x14ac:dyDescent="0.25">
      <c r="B325" s="6"/>
      <c r="C325" s="7"/>
      <c r="E325" s="8"/>
      <c r="F325" s="8"/>
    </row>
    <row r="326" spans="2:6" ht="14.25" customHeight="1" x14ac:dyDescent="0.25">
      <c r="B326" s="6"/>
      <c r="C326" s="7"/>
      <c r="E326" s="8"/>
      <c r="F326" s="8"/>
    </row>
    <row r="327" spans="2:6" ht="14.25" customHeight="1" x14ac:dyDescent="0.25">
      <c r="B327" s="6"/>
      <c r="C327" s="7"/>
      <c r="E327" s="8"/>
      <c r="F327" s="8"/>
    </row>
    <row r="328" spans="2:6" ht="14.25" customHeight="1" x14ac:dyDescent="0.25">
      <c r="B328" s="6"/>
      <c r="C328" s="7"/>
      <c r="E328" s="8"/>
      <c r="F328" s="8"/>
    </row>
    <row r="329" spans="2:6" ht="14.25" customHeight="1" x14ac:dyDescent="0.25">
      <c r="B329" s="6"/>
      <c r="C329" s="7"/>
      <c r="E329" s="8"/>
      <c r="F329" s="8"/>
    </row>
    <row r="330" spans="2:6" ht="14.25" customHeight="1" x14ac:dyDescent="0.25">
      <c r="B330" s="6"/>
      <c r="C330" s="7"/>
      <c r="E330" s="8"/>
      <c r="F330" s="8"/>
    </row>
    <row r="331" spans="2:6" ht="14.25" customHeight="1" x14ac:dyDescent="0.25">
      <c r="B331" s="6"/>
      <c r="C331" s="7"/>
      <c r="E331" s="8"/>
      <c r="F331" s="8"/>
    </row>
    <row r="332" spans="2:6" ht="14.25" customHeight="1" x14ac:dyDescent="0.25">
      <c r="B332" s="6"/>
      <c r="C332" s="7"/>
      <c r="E332" s="8"/>
      <c r="F332" s="8"/>
    </row>
    <row r="333" spans="2:6" ht="14.25" customHeight="1" x14ac:dyDescent="0.25">
      <c r="B333" s="6"/>
      <c r="C333" s="7"/>
      <c r="E333" s="8"/>
      <c r="F333" s="8"/>
    </row>
    <row r="334" spans="2:6" ht="14.25" customHeight="1" x14ac:dyDescent="0.25">
      <c r="B334" s="6"/>
      <c r="C334" s="7"/>
      <c r="E334" s="8"/>
      <c r="F334" s="8"/>
    </row>
    <row r="335" spans="2:6" ht="14.25" customHeight="1" x14ac:dyDescent="0.25">
      <c r="B335" s="6"/>
      <c r="C335" s="7"/>
      <c r="E335" s="8"/>
      <c r="F335" s="8"/>
    </row>
    <row r="336" spans="2:6" ht="14.25" customHeight="1" x14ac:dyDescent="0.25">
      <c r="B336" s="6"/>
      <c r="C336" s="7"/>
      <c r="E336" s="8"/>
      <c r="F336" s="8"/>
    </row>
    <row r="337" spans="2:6" ht="14.25" customHeight="1" x14ac:dyDescent="0.25">
      <c r="B337" s="6"/>
      <c r="C337" s="7"/>
      <c r="E337" s="8"/>
      <c r="F337" s="8"/>
    </row>
    <row r="338" spans="2:6" ht="14.25" customHeight="1" x14ac:dyDescent="0.25">
      <c r="B338" s="6"/>
      <c r="C338" s="7"/>
      <c r="E338" s="8"/>
      <c r="F338" s="8"/>
    </row>
    <row r="339" spans="2:6" ht="14.25" customHeight="1" x14ac:dyDescent="0.25">
      <c r="B339" s="6"/>
      <c r="C339" s="7"/>
      <c r="E339" s="8"/>
      <c r="F339" s="8"/>
    </row>
    <row r="340" spans="2:6" ht="14.25" customHeight="1" x14ac:dyDescent="0.25">
      <c r="B340" s="6"/>
      <c r="C340" s="7"/>
      <c r="E340" s="8"/>
      <c r="F340" s="8"/>
    </row>
    <row r="341" spans="2:6" ht="14.25" customHeight="1" x14ac:dyDescent="0.25">
      <c r="B341" s="6"/>
      <c r="C341" s="7"/>
      <c r="E341" s="8"/>
      <c r="F341" s="8"/>
    </row>
    <row r="342" spans="2:6" ht="14.25" customHeight="1" x14ac:dyDescent="0.25">
      <c r="B342" s="6"/>
      <c r="C342" s="7"/>
      <c r="E342" s="8"/>
      <c r="F342" s="8"/>
    </row>
    <row r="343" spans="2:6" ht="14.25" customHeight="1" x14ac:dyDescent="0.25">
      <c r="B343" s="6"/>
      <c r="C343" s="7"/>
      <c r="E343" s="8"/>
      <c r="F343" s="8"/>
    </row>
    <row r="344" spans="2:6" ht="14.25" customHeight="1" x14ac:dyDescent="0.25">
      <c r="B344" s="6"/>
      <c r="C344" s="7"/>
      <c r="E344" s="8"/>
      <c r="F344" s="8"/>
    </row>
    <row r="345" spans="2:6" ht="14.25" customHeight="1" x14ac:dyDescent="0.25">
      <c r="B345" s="6"/>
      <c r="C345" s="7"/>
      <c r="E345" s="8"/>
      <c r="F345" s="8"/>
    </row>
    <row r="346" spans="2:6" ht="14.25" customHeight="1" x14ac:dyDescent="0.25">
      <c r="B346" s="6"/>
      <c r="C346" s="7"/>
      <c r="E346" s="8"/>
      <c r="F346" s="8"/>
    </row>
    <row r="347" spans="2:6" ht="14.25" customHeight="1" x14ac:dyDescent="0.25">
      <c r="B347" s="6"/>
      <c r="C347" s="7"/>
      <c r="E347" s="8"/>
      <c r="F347" s="8"/>
    </row>
    <row r="348" spans="2:6" ht="14.25" customHeight="1" x14ac:dyDescent="0.25">
      <c r="B348" s="6"/>
      <c r="C348" s="7"/>
      <c r="E348" s="8"/>
      <c r="F348" s="8"/>
    </row>
    <row r="349" spans="2:6" ht="14.25" customHeight="1" x14ac:dyDescent="0.25">
      <c r="B349" s="6"/>
      <c r="C349" s="7"/>
      <c r="E349" s="8"/>
      <c r="F349" s="8"/>
    </row>
    <row r="350" spans="2:6" ht="14.25" customHeight="1" x14ac:dyDescent="0.25">
      <c r="B350" s="6"/>
      <c r="C350" s="7"/>
      <c r="E350" s="8"/>
      <c r="F350" s="8"/>
    </row>
    <row r="351" spans="2:6" ht="14.25" customHeight="1" x14ac:dyDescent="0.25">
      <c r="B351" s="6"/>
      <c r="C351" s="7"/>
      <c r="E351" s="8"/>
      <c r="F351" s="8"/>
    </row>
    <row r="352" spans="2:6" ht="14.25" customHeight="1" x14ac:dyDescent="0.25">
      <c r="B352" s="6"/>
      <c r="C352" s="7"/>
      <c r="E352" s="8"/>
      <c r="F352" s="8"/>
    </row>
    <row r="353" spans="2:6" ht="14.25" customHeight="1" x14ac:dyDescent="0.25">
      <c r="B353" s="6"/>
      <c r="C353" s="7"/>
      <c r="E353" s="8"/>
      <c r="F353" s="8"/>
    </row>
    <row r="354" spans="2:6" ht="14.25" customHeight="1" x14ac:dyDescent="0.25">
      <c r="B354" s="6"/>
      <c r="C354" s="7"/>
      <c r="E354" s="8"/>
      <c r="F354" s="8"/>
    </row>
    <row r="355" spans="2:6" ht="14.25" customHeight="1" x14ac:dyDescent="0.25">
      <c r="B355" s="6"/>
      <c r="C355" s="7"/>
      <c r="E355" s="8"/>
      <c r="F355" s="8"/>
    </row>
    <row r="356" spans="2:6" ht="14.25" customHeight="1" x14ac:dyDescent="0.25">
      <c r="B356" s="6"/>
      <c r="C356" s="7"/>
      <c r="E356" s="8"/>
      <c r="F356" s="8"/>
    </row>
    <row r="357" spans="2:6" ht="14.25" customHeight="1" x14ac:dyDescent="0.25">
      <c r="B357" s="6"/>
      <c r="C357" s="7"/>
      <c r="E357" s="8"/>
      <c r="F357" s="8"/>
    </row>
    <row r="358" spans="2:6" ht="14.25" customHeight="1" x14ac:dyDescent="0.25">
      <c r="B358" s="6"/>
      <c r="C358" s="7"/>
      <c r="E358" s="8"/>
      <c r="F358" s="8"/>
    </row>
    <row r="359" spans="2:6" ht="14.25" customHeight="1" x14ac:dyDescent="0.25">
      <c r="B359" s="6"/>
      <c r="C359" s="7"/>
      <c r="E359" s="8"/>
      <c r="F359" s="8"/>
    </row>
    <row r="360" spans="2:6" ht="14.25" customHeight="1" x14ac:dyDescent="0.25">
      <c r="B360" s="6"/>
      <c r="C360" s="7"/>
      <c r="E360" s="8"/>
      <c r="F360" s="8"/>
    </row>
    <row r="361" spans="2:6" ht="14.25" customHeight="1" x14ac:dyDescent="0.25">
      <c r="B361" s="6"/>
      <c r="C361" s="7"/>
      <c r="E361" s="8"/>
      <c r="F361" s="8"/>
    </row>
    <row r="362" spans="2:6" ht="14.25" customHeight="1" x14ac:dyDescent="0.25">
      <c r="B362" s="6"/>
      <c r="C362" s="7"/>
      <c r="E362" s="8"/>
      <c r="F362" s="8"/>
    </row>
    <row r="363" spans="2:6" ht="14.25" customHeight="1" x14ac:dyDescent="0.25">
      <c r="B363" s="6"/>
      <c r="C363" s="7"/>
      <c r="E363" s="8"/>
      <c r="F363" s="8"/>
    </row>
    <row r="364" spans="2:6" ht="14.25" customHeight="1" x14ac:dyDescent="0.25">
      <c r="B364" s="6"/>
      <c r="C364" s="7"/>
      <c r="E364" s="8"/>
      <c r="F364" s="8"/>
    </row>
    <row r="365" spans="2:6" ht="14.25" customHeight="1" x14ac:dyDescent="0.25">
      <c r="B365" s="6"/>
      <c r="C365" s="7"/>
      <c r="E365" s="8"/>
      <c r="F365" s="8"/>
    </row>
    <row r="366" spans="2:6" ht="14.25" customHeight="1" x14ac:dyDescent="0.25">
      <c r="B366" s="6"/>
      <c r="C366" s="7"/>
      <c r="E366" s="8"/>
      <c r="F366" s="8"/>
    </row>
    <row r="367" spans="2:6" ht="14.25" customHeight="1" x14ac:dyDescent="0.25">
      <c r="B367" s="6"/>
      <c r="C367" s="7"/>
      <c r="E367" s="8"/>
      <c r="F367" s="8"/>
    </row>
    <row r="368" spans="2:6" ht="14.25" customHeight="1" x14ac:dyDescent="0.25">
      <c r="B368" s="6"/>
      <c r="C368" s="7"/>
      <c r="E368" s="8"/>
      <c r="F368" s="8"/>
    </row>
    <row r="369" spans="2:6" ht="14.25" customHeight="1" x14ac:dyDescent="0.25">
      <c r="B369" s="6"/>
      <c r="C369" s="7"/>
      <c r="E369" s="8"/>
      <c r="F369" s="8"/>
    </row>
    <row r="370" spans="2:6" ht="14.25" customHeight="1" x14ac:dyDescent="0.25">
      <c r="B370" s="6"/>
      <c r="C370" s="7"/>
      <c r="E370" s="8"/>
      <c r="F370" s="8"/>
    </row>
    <row r="371" spans="2:6" ht="14.25" customHeight="1" x14ac:dyDescent="0.25">
      <c r="B371" s="6"/>
      <c r="C371" s="7"/>
      <c r="E371" s="8"/>
      <c r="F371" s="8"/>
    </row>
    <row r="372" spans="2:6" ht="14.25" customHeight="1" x14ac:dyDescent="0.25">
      <c r="B372" s="6"/>
      <c r="C372" s="7"/>
      <c r="E372" s="8"/>
      <c r="F372" s="8"/>
    </row>
    <row r="373" spans="2:6" ht="14.25" customHeight="1" x14ac:dyDescent="0.25">
      <c r="B373" s="6"/>
      <c r="C373" s="7"/>
      <c r="E373" s="8"/>
      <c r="F373" s="8"/>
    </row>
    <row r="374" spans="2:6" ht="14.25" customHeight="1" x14ac:dyDescent="0.25">
      <c r="B374" s="6"/>
      <c r="C374" s="7"/>
      <c r="E374" s="8"/>
      <c r="F374" s="8"/>
    </row>
    <row r="375" spans="2:6" ht="14.25" customHeight="1" x14ac:dyDescent="0.25">
      <c r="B375" s="6"/>
      <c r="C375" s="7"/>
      <c r="E375" s="8"/>
      <c r="F375" s="8"/>
    </row>
    <row r="376" spans="2:6" ht="14.25" customHeight="1" x14ac:dyDescent="0.25">
      <c r="B376" s="6"/>
      <c r="C376" s="7"/>
      <c r="E376" s="8"/>
      <c r="F376" s="8"/>
    </row>
    <row r="377" spans="2:6" ht="14.25" customHeight="1" x14ac:dyDescent="0.25">
      <c r="B377" s="6"/>
      <c r="C377" s="7"/>
      <c r="E377" s="8"/>
      <c r="F377" s="8"/>
    </row>
    <row r="378" spans="2:6" ht="14.25" customHeight="1" x14ac:dyDescent="0.25">
      <c r="B378" s="6"/>
      <c r="C378" s="7"/>
      <c r="E378" s="8"/>
      <c r="F378" s="8"/>
    </row>
    <row r="379" spans="2:6" ht="14.25" customHeight="1" x14ac:dyDescent="0.25">
      <c r="B379" s="6"/>
      <c r="C379" s="7"/>
      <c r="E379" s="8"/>
      <c r="F379" s="8"/>
    </row>
    <row r="380" spans="2:6" ht="14.25" customHeight="1" x14ac:dyDescent="0.25">
      <c r="B380" s="6"/>
      <c r="C380" s="7"/>
      <c r="E380" s="8"/>
      <c r="F380" s="8"/>
    </row>
    <row r="381" spans="2:6" ht="14.25" customHeight="1" x14ac:dyDescent="0.25">
      <c r="B381" s="6"/>
      <c r="C381" s="7"/>
      <c r="E381" s="8"/>
      <c r="F381" s="8"/>
    </row>
    <row r="382" spans="2:6" ht="14.25" customHeight="1" x14ac:dyDescent="0.25">
      <c r="B382" s="6"/>
      <c r="C382" s="7"/>
      <c r="E382" s="8"/>
      <c r="F382" s="8"/>
    </row>
    <row r="383" spans="2:6" ht="14.25" customHeight="1" x14ac:dyDescent="0.25">
      <c r="B383" s="6"/>
      <c r="C383" s="7"/>
      <c r="E383" s="8"/>
      <c r="F383" s="8"/>
    </row>
    <row r="384" spans="2:6" ht="14.25" customHeight="1" x14ac:dyDescent="0.25">
      <c r="B384" s="6"/>
      <c r="C384" s="7"/>
      <c r="E384" s="8"/>
      <c r="F384" s="8"/>
    </row>
    <row r="385" spans="2:6" ht="14.25" customHeight="1" x14ac:dyDescent="0.25">
      <c r="B385" s="6"/>
      <c r="C385" s="7"/>
      <c r="E385" s="8"/>
      <c r="F385" s="8"/>
    </row>
    <row r="386" spans="2:6" ht="14.25" customHeight="1" x14ac:dyDescent="0.25">
      <c r="B386" s="6"/>
      <c r="C386" s="7"/>
      <c r="E386" s="8"/>
      <c r="F386" s="8"/>
    </row>
    <row r="387" spans="2:6" ht="14.25" customHeight="1" x14ac:dyDescent="0.25">
      <c r="B387" s="6"/>
      <c r="C387" s="7"/>
      <c r="E387" s="8"/>
      <c r="F387" s="8"/>
    </row>
    <row r="388" spans="2:6" ht="14.25" customHeight="1" x14ac:dyDescent="0.25">
      <c r="B388" s="6"/>
      <c r="C388" s="7"/>
      <c r="E388" s="8"/>
      <c r="F388" s="8"/>
    </row>
    <row r="389" spans="2:6" ht="14.25" customHeight="1" x14ac:dyDescent="0.25">
      <c r="B389" s="6"/>
      <c r="C389" s="7"/>
      <c r="E389" s="8"/>
      <c r="F389" s="8"/>
    </row>
    <row r="390" spans="2:6" ht="14.25" customHeight="1" x14ac:dyDescent="0.25">
      <c r="B390" s="6"/>
      <c r="C390" s="7"/>
      <c r="E390" s="8"/>
      <c r="F390" s="8"/>
    </row>
    <row r="391" spans="2:6" ht="14.25" customHeight="1" x14ac:dyDescent="0.25">
      <c r="B391" s="6"/>
      <c r="C391" s="7"/>
      <c r="E391" s="8"/>
      <c r="F391" s="8"/>
    </row>
    <row r="392" spans="2:6" ht="14.25" customHeight="1" x14ac:dyDescent="0.25">
      <c r="B392" s="6"/>
      <c r="C392" s="7"/>
      <c r="E392" s="8"/>
      <c r="F392" s="8"/>
    </row>
    <row r="393" spans="2:6" ht="14.25" customHeight="1" x14ac:dyDescent="0.25">
      <c r="B393" s="6"/>
      <c r="C393" s="7"/>
      <c r="E393" s="8"/>
      <c r="F393" s="8"/>
    </row>
    <row r="394" spans="2:6" ht="14.25" customHeight="1" x14ac:dyDescent="0.25">
      <c r="B394" s="6"/>
      <c r="C394" s="7"/>
      <c r="E394" s="8"/>
      <c r="F394" s="8"/>
    </row>
    <row r="395" spans="2:6" ht="14.25" customHeight="1" x14ac:dyDescent="0.25">
      <c r="B395" s="6"/>
      <c r="C395" s="7"/>
      <c r="E395" s="8"/>
      <c r="F395" s="8"/>
    </row>
    <row r="396" spans="2:6" ht="14.25" customHeight="1" x14ac:dyDescent="0.25">
      <c r="B396" s="6"/>
      <c r="C396" s="7"/>
      <c r="E396" s="8"/>
      <c r="F396" s="8"/>
    </row>
    <row r="397" spans="2:6" ht="14.25" customHeight="1" x14ac:dyDescent="0.25">
      <c r="B397" s="6"/>
      <c r="C397" s="7"/>
      <c r="E397" s="8"/>
      <c r="F397" s="8"/>
    </row>
    <row r="398" spans="2:6" ht="14.25" customHeight="1" x14ac:dyDescent="0.25">
      <c r="B398" s="6"/>
      <c r="C398" s="7"/>
      <c r="E398" s="8"/>
      <c r="F398" s="8"/>
    </row>
    <row r="399" spans="2:6" ht="14.25" customHeight="1" x14ac:dyDescent="0.25">
      <c r="B399" s="6"/>
      <c r="C399" s="7"/>
      <c r="E399" s="8"/>
      <c r="F399" s="8"/>
    </row>
    <row r="400" spans="2:6" ht="14.25" customHeight="1" x14ac:dyDescent="0.25">
      <c r="B400" s="6"/>
      <c r="C400" s="7"/>
      <c r="E400" s="8"/>
      <c r="F400" s="8"/>
    </row>
    <row r="401" spans="2:6" ht="14.25" customHeight="1" x14ac:dyDescent="0.25">
      <c r="B401" s="6"/>
      <c r="C401" s="7"/>
      <c r="E401" s="8"/>
      <c r="F401" s="8"/>
    </row>
    <row r="402" spans="2:6" ht="14.25" customHeight="1" x14ac:dyDescent="0.25">
      <c r="B402" s="6"/>
      <c r="C402" s="7"/>
      <c r="E402" s="8"/>
      <c r="F402" s="8"/>
    </row>
    <row r="403" spans="2:6" ht="14.25" customHeight="1" x14ac:dyDescent="0.25">
      <c r="B403" s="6"/>
      <c r="C403" s="7"/>
      <c r="E403" s="8"/>
      <c r="F403" s="8"/>
    </row>
    <row r="404" spans="2:6" ht="14.25" customHeight="1" x14ac:dyDescent="0.25">
      <c r="B404" s="6"/>
      <c r="C404" s="7"/>
      <c r="E404" s="8"/>
      <c r="F404" s="8"/>
    </row>
    <row r="405" spans="2:6" ht="14.25" customHeight="1" x14ac:dyDescent="0.25">
      <c r="B405" s="6"/>
      <c r="C405" s="7"/>
      <c r="E405" s="8"/>
      <c r="F405" s="8"/>
    </row>
    <row r="406" spans="2:6" ht="14.25" customHeight="1" x14ac:dyDescent="0.25">
      <c r="B406" s="6"/>
      <c r="C406" s="7"/>
      <c r="E406" s="8"/>
      <c r="F406" s="8"/>
    </row>
    <row r="407" spans="2:6" ht="14.25" customHeight="1" x14ac:dyDescent="0.25">
      <c r="B407" s="6"/>
      <c r="C407" s="7"/>
      <c r="E407" s="8"/>
      <c r="F407" s="8"/>
    </row>
    <row r="408" spans="2:6" ht="14.25" customHeight="1" x14ac:dyDescent="0.25">
      <c r="B408" s="6"/>
      <c r="C408" s="7"/>
      <c r="E408" s="8"/>
      <c r="F408" s="8"/>
    </row>
    <row r="409" spans="2:6" ht="14.25" customHeight="1" x14ac:dyDescent="0.25">
      <c r="B409" s="6"/>
      <c r="C409" s="7"/>
      <c r="E409" s="8"/>
      <c r="F409" s="8"/>
    </row>
    <row r="410" spans="2:6" ht="14.25" customHeight="1" x14ac:dyDescent="0.25">
      <c r="B410" s="6"/>
      <c r="C410" s="7"/>
      <c r="E410" s="8"/>
      <c r="F410" s="8"/>
    </row>
    <row r="411" spans="2:6" ht="14.25" customHeight="1" x14ac:dyDescent="0.25">
      <c r="B411" s="6"/>
      <c r="C411" s="7"/>
      <c r="E411" s="8"/>
      <c r="F411" s="8"/>
    </row>
    <row r="412" spans="2:6" ht="14.25" customHeight="1" x14ac:dyDescent="0.25">
      <c r="B412" s="6"/>
      <c r="C412" s="7"/>
      <c r="E412" s="8"/>
      <c r="F412" s="8"/>
    </row>
    <row r="413" spans="2:6" ht="14.25" customHeight="1" x14ac:dyDescent="0.25">
      <c r="B413" s="6"/>
      <c r="C413" s="7"/>
      <c r="E413" s="8"/>
      <c r="F413" s="8"/>
    </row>
    <row r="414" spans="2:6" ht="14.25" customHeight="1" x14ac:dyDescent="0.25">
      <c r="B414" s="6"/>
      <c r="C414" s="7"/>
      <c r="E414" s="8"/>
      <c r="F414" s="8"/>
    </row>
    <row r="415" spans="2:6" ht="14.25" customHeight="1" x14ac:dyDescent="0.25">
      <c r="B415" s="6"/>
      <c r="C415" s="7"/>
      <c r="E415" s="8"/>
      <c r="F415" s="8"/>
    </row>
    <row r="416" spans="2:6" ht="14.25" customHeight="1" x14ac:dyDescent="0.25">
      <c r="B416" s="6"/>
      <c r="C416" s="7"/>
      <c r="E416" s="8"/>
      <c r="F416" s="8"/>
    </row>
    <row r="417" spans="2:6" ht="14.25" customHeight="1" x14ac:dyDescent="0.25">
      <c r="B417" s="6"/>
      <c r="C417" s="7"/>
      <c r="E417" s="8"/>
      <c r="F417" s="8"/>
    </row>
    <row r="418" spans="2:6" ht="14.25" customHeight="1" x14ac:dyDescent="0.25">
      <c r="B418" s="6"/>
      <c r="C418" s="7"/>
      <c r="E418" s="8"/>
      <c r="F418" s="8"/>
    </row>
    <row r="419" spans="2:6" ht="14.25" customHeight="1" x14ac:dyDescent="0.25">
      <c r="B419" s="6"/>
      <c r="C419" s="7"/>
      <c r="E419" s="8"/>
      <c r="F419" s="8"/>
    </row>
    <row r="420" spans="2:6" ht="14.25" customHeight="1" x14ac:dyDescent="0.25">
      <c r="B420" s="6"/>
      <c r="C420" s="7"/>
      <c r="E420" s="8"/>
      <c r="F420" s="8"/>
    </row>
    <row r="421" spans="2:6" ht="14.25" customHeight="1" x14ac:dyDescent="0.25">
      <c r="B421" s="6"/>
      <c r="C421" s="7"/>
      <c r="E421" s="8"/>
      <c r="F421" s="8"/>
    </row>
    <row r="422" spans="2:6" ht="14.25" customHeight="1" x14ac:dyDescent="0.25">
      <c r="B422" s="6"/>
      <c r="C422" s="7"/>
      <c r="E422" s="8"/>
      <c r="F422" s="8"/>
    </row>
    <row r="423" spans="2:6" ht="14.25" customHeight="1" x14ac:dyDescent="0.25">
      <c r="B423" s="6"/>
      <c r="C423" s="7"/>
      <c r="E423" s="8"/>
      <c r="F423" s="8"/>
    </row>
    <row r="424" spans="2:6" ht="14.25" customHeight="1" x14ac:dyDescent="0.25">
      <c r="B424" s="6"/>
      <c r="C424" s="7"/>
      <c r="E424" s="8"/>
      <c r="F424" s="8"/>
    </row>
    <row r="425" spans="2:6" ht="14.25" customHeight="1" x14ac:dyDescent="0.25">
      <c r="B425" s="6"/>
      <c r="C425" s="7"/>
      <c r="E425" s="8"/>
      <c r="F425" s="8"/>
    </row>
    <row r="426" spans="2:6" ht="14.25" customHeight="1" x14ac:dyDescent="0.25">
      <c r="B426" s="6"/>
      <c r="C426" s="7"/>
      <c r="E426" s="8"/>
      <c r="F426" s="8"/>
    </row>
    <row r="427" spans="2:6" ht="14.25" customHeight="1" x14ac:dyDescent="0.25">
      <c r="B427" s="6"/>
      <c r="C427" s="7"/>
      <c r="E427" s="8"/>
      <c r="F427" s="8"/>
    </row>
    <row r="428" spans="2:6" ht="14.25" customHeight="1" x14ac:dyDescent="0.25">
      <c r="B428" s="6"/>
      <c r="C428" s="7"/>
      <c r="E428" s="8"/>
      <c r="F428" s="8"/>
    </row>
    <row r="429" spans="2:6" ht="14.25" customHeight="1" x14ac:dyDescent="0.25">
      <c r="B429" s="6"/>
      <c r="C429" s="7"/>
      <c r="E429" s="8"/>
      <c r="F429" s="8"/>
    </row>
    <row r="430" spans="2:6" ht="14.25" customHeight="1" x14ac:dyDescent="0.25">
      <c r="B430" s="6"/>
      <c r="C430" s="7"/>
      <c r="E430" s="8"/>
      <c r="F430" s="8"/>
    </row>
    <row r="431" spans="2:6" ht="14.25" customHeight="1" x14ac:dyDescent="0.25">
      <c r="B431" s="6"/>
      <c r="C431" s="7"/>
      <c r="E431" s="8"/>
      <c r="F431" s="8"/>
    </row>
    <row r="432" spans="2:6" ht="14.25" customHeight="1" x14ac:dyDescent="0.25">
      <c r="B432" s="6"/>
      <c r="C432" s="7"/>
      <c r="E432" s="8"/>
      <c r="F432" s="8"/>
    </row>
    <row r="433" spans="2:6" ht="14.25" customHeight="1" x14ac:dyDescent="0.25">
      <c r="B433" s="6"/>
      <c r="C433" s="7"/>
      <c r="E433" s="8"/>
      <c r="F433" s="8"/>
    </row>
    <row r="434" spans="2:6" ht="14.25" customHeight="1" x14ac:dyDescent="0.25">
      <c r="B434" s="6"/>
      <c r="C434" s="7"/>
      <c r="E434" s="8"/>
      <c r="F434" s="8"/>
    </row>
    <row r="435" spans="2:6" ht="14.25" customHeight="1" x14ac:dyDescent="0.25">
      <c r="B435" s="6"/>
      <c r="C435" s="7"/>
      <c r="E435" s="8"/>
      <c r="F435" s="8"/>
    </row>
    <row r="436" spans="2:6" ht="14.25" customHeight="1" x14ac:dyDescent="0.25">
      <c r="B436" s="6"/>
      <c r="C436" s="7"/>
      <c r="E436" s="8"/>
      <c r="F436" s="8"/>
    </row>
    <row r="437" spans="2:6" ht="14.25" customHeight="1" x14ac:dyDescent="0.25">
      <c r="B437" s="6"/>
      <c r="C437" s="7"/>
      <c r="E437" s="8"/>
      <c r="F437" s="8"/>
    </row>
    <row r="438" spans="2:6" ht="14.25" customHeight="1" x14ac:dyDescent="0.25">
      <c r="B438" s="6"/>
      <c r="C438" s="7"/>
      <c r="E438" s="8"/>
      <c r="F438" s="8"/>
    </row>
    <row r="439" spans="2:6" ht="14.25" customHeight="1" x14ac:dyDescent="0.25">
      <c r="B439" s="6"/>
      <c r="C439" s="7"/>
      <c r="E439" s="8"/>
      <c r="F439" s="8"/>
    </row>
    <row r="440" spans="2:6" ht="14.25" customHeight="1" x14ac:dyDescent="0.25">
      <c r="B440" s="6"/>
      <c r="C440" s="7"/>
      <c r="E440" s="8"/>
      <c r="F440" s="8"/>
    </row>
    <row r="441" spans="2:6" ht="14.25" customHeight="1" x14ac:dyDescent="0.25">
      <c r="B441" s="6"/>
      <c r="C441" s="7"/>
      <c r="E441" s="8"/>
      <c r="F441" s="8"/>
    </row>
    <row r="442" spans="2:6" ht="14.25" customHeight="1" x14ac:dyDescent="0.25">
      <c r="B442" s="6"/>
      <c r="C442" s="7"/>
      <c r="E442" s="8"/>
      <c r="F442" s="8"/>
    </row>
    <row r="443" spans="2:6" ht="14.25" customHeight="1" x14ac:dyDescent="0.25">
      <c r="B443" s="6"/>
      <c r="C443" s="7"/>
      <c r="E443" s="8"/>
      <c r="F443" s="8"/>
    </row>
    <row r="444" spans="2:6" ht="14.25" customHeight="1" x14ac:dyDescent="0.25">
      <c r="B444" s="6"/>
      <c r="C444" s="7"/>
      <c r="E444" s="8"/>
      <c r="F444" s="8"/>
    </row>
    <row r="445" spans="2:6" ht="14.25" customHeight="1" x14ac:dyDescent="0.25">
      <c r="B445" s="6"/>
      <c r="C445" s="7"/>
      <c r="E445" s="8"/>
      <c r="F445" s="8"/>
    </row>
    <row r="446" spans="2:6" ht="14.25" customHeight="1" x14ac:dyDescent="0.25">
      <c r="B446" s="6"/>
      <c r="C446" s="7"/>
      <c r="E446" s="8"/>
      <c r="F446" s="8"/>
    </row>
    <row r="447" spans="2:6" ht="14.25" customHeight="1" x14ac:dyDescent="0.25">
      <c r="B447" s="6"/>
      <c r="C447" s="7"/>
      <c r="E447" s="8"/>
      <c r="F447" s="8"/>
    </row>
    <row r="448" spans="2:6" ht="14.25" customHeight="1" x14ac:dyDescent="0.25">
      <c r="B448" s="6"/>
      <c r="C448" s="7"/>
      <c r="E448" s="8"/>
      <c r="F448" s="8"/>
    </row>
    <row r="449" spans="2:6" ht="14.25" customHeight="1" x14ac:dyDescent="0.25">
      <c r="B449" s="6"/>
      <c r="C449" s="7"/>
      <c r="E449" s="8"/>
      <c r="F449" s="8"/>
    </row>
    <row r="450" spans="2:6" ht="14.25" customHeight="1" x14ac:dyDescent="0.25">
      <c r="B450" s="6"/>
      <c r="C450" s="7"/>
      <c r="E450" s="8"/>
      <c r="F450" s="8"/>
    </row>
    <row r="451" spans="2:6" ht="14.25" customHeight="1" x14ac:dyDescent="0.25">
      <c r="B451" s="6"/>
      <c r="C451" s="7"/>
      <c r="E451" s="8"/>
      <c r="F451" s="8"/>
    </row>
    <row r="452" spans="2:6" ht="14.25" customHeight="1" x14ac:dyDescent="0.25">
      <c r="B452" s="6"/>
      <c r="C452" s="7"/>
      <c r="E452" s="8"/>
      <c r="F452" s="8"/>
    </row>
    <row r="453" spans="2:6" ht="14.25" customHeight="1" x14ac:dyDescent="0.25">
      <c r="B453" s="6"/>
      <c r="C453" s="7"/>
      <c r="E453" s="8"/>
      <c r="F453" s="8"/>
    </row>
    <row r="454" spans="2:6" ht="14.25" customHeight="1" x14ac:dyDescent="0.25">
      <c r="B454" s="6"/>
      <c r="C454" s="7"/>
      <c r="E454" s="8"/>
      <c r="F454" s="8"/>
    </row>
    <row r="455" spans="2:6" ht="14.25" customHeight="1" x14ac:dyDescent="0.25">
      <c r="B455" s="6"/>
      <c r="C455" s="7"/>
      <c r="E455" s="8"/>
      <c r="F455" s="8"/>
    </row>
    <row r="456" spans="2:6" ht="14.25" customHeight="1" x14ac:dyDescent="0.25">
      <c r="B456" s="6"/>
      <c r="C456" s="7"/>
      <c r="E456" s="8"/>
      <c r="F456" s="8"/>
    </row>
    <row r="457" spans="2:6" ht="14.25" customHeight="1" x14ac:dyDescent="0.25">
      <c r="B457" s="6"/>
      <c r="C457" s="7"/>
      <c r="E457" s="8"/>
      <c r="F457" s="8"/>
    </row>
    <row r="458" spans="2:6" ht="14.25" customHeight="1" x14ac:dyDescent="0.25">
      <c r="B458" s="6"/>
      <c r="C458" s="7"/>
      <c r="E458" s="8"/>
      <c r="F458" s="8"/>
    </row>
    <row r="459" spans="2:6" ht="14.25" customHeight="1" x14ac:dyDescent="0.25">
      <c r="B459" s="6"/>
      <c r="C459" s="7"/>
      <c r="E459" s="8"/>
      <c r="F459" s="8"/>
    </row>
    <row r="460" spans="2:6" ht="14.25" customHeight="1" x14ac:dyDescent="0.25">
      <c r="B460" s="6"/>
      <c r="C460" s="7"/>
      <c r="E460" s="8"/>
      <c r="F460" s="8"/>
    </row>
    <row r="461" spans="2:6" ht="14.25" customHeight="1" x14ac:dyDescent="0.25">
      <c r="B461" s="6"/>
      <c r="C461" s="7"/>
      <c r="E461" s="8"/>
      <c r="F461" s="8"/>
    </row>
    <row r="462" spans="2:6" ht="14.25" customHeight="1" x14ac:dyDescent="0.25">
      <c r="B462" s="6"/>
      <c r="C462" s="7"/>
      <c r="E462" s="8"/>
      <c r="F462" s="8"/>
    </row>
    <row r="463" spans="2:6" ht="14.25" customHeight="1" x14ac:dyDescent="0.25">
      <c r="B463" s="6"/>
      <c r="C463" s="7"/>
      <c r="E463" s="8"/>
      <c r="F463" s="8"/>
    </row>
    <row r="464" spans="2:6" ht="14.25" customHeight="1" x14ac:dyDescent="0.25">
      <c r="B464" s="6"/>
      <c r="C464" s="7"/>
      <c r="E464" s="8"/>
      <c r="F464" s="8"/>
    </row>
    <row r="465" spans="2:6" ht="14.25" customHeight="1" x14ac:dyDescent="0.25">
      <c r="B465" s="6"/>
      <c r="C465" s="7"/>
      <c r="E465" s="8"/>
      <c r="F465" s="8"/>
    </row>
    <row r="466" spans="2:6" ht="14.25" customHeight="1" x14ac:dyDescent="0.25">
      <c r="B466" s="6"/>
      <c r="C466" s="7"/>
      <c r="E466" s="8"/>
      <c r="F466" s="8"/>
    </row>
    <row r="467" spans="2:6" ht="14.25" customHeight="1" x14ac:dyDescent="0.25">
      <c r="B467" s="6"/>
      <c r="C467" s="7"/>
      <c r="E467" s="8"/>
      <c r="F467" s="8"/>
    </row>
    <row r="468" spans="2:6" ht="14.25" customHeight="1" x14ac:dyDescent="0.25">
      <c r="B468" s="6"/>
      <c r="C468" s="7"/>
      <c r="E468" s="8"/>
      <c r="F468" s="8"/>
    </row>
    <row r="469" spans="2:6" ht="14.25" customHeight="1" x14ac:dyDescent="0.25">
      <c r="B469" s="6"/>
      <c r="C469" s="7"/>
      <c r="E469" s="8"/>
      <c r="F469" s="8"/>
    </row>
    <row r="470" spans="2:6" ht="14.25" customHeight="1" x14ac:dyDescent="0.25">
      <c r="B470" s="6"/>
      <c r="C470" s="7"/>
      <c r="E470" s="8"/>
      <c r="F470" s="8"/>
    </row>
    <row r="471" spans="2:6" ht="14.25" customHeight="1" x14ac:dyDescent="0.25">
      <c r="B471" s="6"/>
      <c r="C471" s="7"/>
      <c r="E471" s="8"/>
      <c r="F471" s="8"/>
    </row>
    <row r="472" spans="2:6" ht="14.25" customHeight="1" x14ac:dyDescent="0.25">
      <c r="B472" s="6"/>
      <c r="C472" s="7"/>
      <c r="E472" s="8"/>
      <c r="F472" s="8"/>
    </row>
    <row r="473" spans="2:6" ht="14.25" customHeight="1" x14ac:dyDescent="0.25">
      <c r="B473" s="6"/>
      <c r="C473" s="7"/>
      <c r="E473" s="8"/>
      <c r="F473" s="8"/>
    </row>
    <row r="474" spans="2:6" ht="14.25" customHeight="1" x14ac:dyDescent="0.25">
      <c r="B474" s="6"/>
      <c r="C474" s="7"/>
      <c r="E474" s="8"/>
      <c r="F474" s="8"/>
    </row>
    <row r="475" spans="2:6" ht="14.25" customHeight="1" x14ac:dyDescent="0.25">
      <c r="B475" s="6"/>
      <c r="C475" s="7"/>
      <c r="E475" s="8"/>
      <c r="F475" s="8"/>
    </row>
    <row r="476" spans="2:6" ht="14.25" customHeight="1" x14ac:dyDescent="0.25">
      <c r="B476" s="6"/>
      <c r="C476" s="7"/>
      <c r="E476" s="8"/>
      <c r="F476" s="8"/>
    </row>
    <row r="477" spans="2:6" ht="14.25" customHeight="1" x14ac:dyDescent="0.25">
      <c r="B477" s="6"/>
      <c r="C477" s="7"/>
      <c r="E477" s="8"/>
      <c r="F477" s="8"/>
    </row>
    <row r="478" spans="2:6" ht="14.25" customHeight="1" x14ac:dyDescent="0.25">
      <c r="B478" s="6"/>
      <c r="C478" s="7"/>
      <c r="E478" s="8"/>
      <c r="F478" s="8"/>
    </row>
    <row r="479" spans="2:6" ht="14.25" customHeight="1" x14ac:dyDescent="0.25">
      <c r="B479" s="6"/>
      <c r="C479" s="7"/>
      <c r="E479" s="8"/>
      <c r="F479" s="8"/>
    </row>
    <row r="480" spans="2:6" ht="14.25" customHeight="1" x14ac:dyDescent="0.25">
      <c r="B480" s="6"/>
      <c r="C480" s="7"/>
      <c r="E480" s="8"/>
      <c r="F480" s="8"/>
    </row>
    <row r="481" spans="2:6" ht="14.25" customHeight="1" x14ac:dyDescent="0.25">
      <c r="B481" s="6"/>
      <c r="C481" s="7"/>
      <c r="E481" s="8"/>
      <c r="F481" s="8"/>
    </row>
    <row r="482" spans="2:6" ht="14.25" customHeight="1" x14ac:dyDescent="0.25">
      <c r="B482" s="6"/>
      <c r="C482" s="7"/>
      <c r="E482" s="8"/>
      <c r="F482" s="8"/>
    </row>
    <row r="483" spans="2:6" ht="14.25" customHeight="1" x14ac:dyDescent="0.25">
      <c r="B483" s="6"/>
      <c r="C483" s="7"/>
      <c r="E483" s="8"/>
      <c r="F483" s="8"/>
    </row>
    <row r="484" spans="2:6" ht="14.25" customHeight="1" x14ac:dyDescent="0.25">
      <c r="B484" s="6"/>
      <c r="C484" s="7"/>
      <c r="E484" s="8"/>
      <c r="F484" s="8"/>
    </row>
    <row r="485" spans="2:6" ht="14.25" customHeight="1" x14ac:dyDescent="0.25">
      <c r="B485" s="6"/>
      <c r="C485" s="7"/>
      <c r="E485" s="8"/>
      <c r="F485" s="8"/>
    </row>
    <row r="486" spans="2:6" ht="14.25" customHeight="1" x14ac:dyDescent="0.25">
      <c r="B486" s="6"/>
      <c r="C486" s="7"/>
      <c r="E486" s="8"/>
      <c r="F486" s="8"/>
    </row>
    <row r="487" spans="2:6" ht="14.25" customHeight="1" x14ac:dyDescent="0.25">
      <c r="B487" s="6"/>
      <c r="C487" s="7"/>
      <c r="E487" s="8"/>
      <c r="F487" s="8"/>
    </row>
    <row r="488" spans="2:6" ht="14.25" customHeight="1" x14ac:dyDescent="0.25">
      <c r="B488" s="6"/>
      <c r="C488" s="7"/>
      <c r="E488" s="8"/>
      <c r="F488" s="8"/>
    </row>
    <row r="489" spans="2:6" ht="14.25" customHeight="1" x14ac:dyDescent="0.25">
      <c r="B489" s="6"/>
      <c r="C489" s="7"/>
      <c r="E489" s="8"/>
      <c r="F489" s="8"/>
    </row>
    <row r="490" spans="2:6" ht="14.25" customHeight="1" x14ac:dyDescent="0.25">
      <c r="B490" s="6"/>
      <c r="C490" s="7"/>
      <c r="E490" s="8"/>
      <c r="F490" s="8"/>
    </row>
    <row r="491" spans="2:6" ht="14.25" customHeight="1" x14ac:dyDescent="0.25">
      <c r="B491" s="6"/>
      <c r="C491" s="7"/>
      <c r="E491" s="8"/>
      <c r="F491" s="8"/>
    </row>
    <row r="492" spans="2:6" ht="14.25" customHeight="1" x14ac:dyDescent="0.25">
      <c r="B492" s="6"/>
      <c r="C492" s="7"/>
      <c r="E492" s="8"/>
      <c r="F492" s="8"/>
    </row>
    <row r="493" spans="2:6" ht="14.25" customHeight="1" x14ac:dyDescent="0.25">
      <c r="B493" s="6"/>
      <c r="C493" s="7"/>
      <c r="E493" s="8"/>
      <c r="F493" s="8"/>
    </row>
    <row r="494" spans="2:6" ht="14.25" customHeight="1" x14ac:dyDescent="0.25">
      <c r="B494" s="6"/>
      <c r="C494" s="7"/>
      <c r="E494" s="8"/>
      <c r="F494" s="8"/>
    </row>
    <row r="495" spans="2:6" ht="14.25" customHeight="1" x14ac:dyDescent="0.25">
      <c r="B495" s="6"/>
      <c r="C495" s="7"/>
      <c r="E495" s="8"/>
      <c r="F495" s="8"/>
    </row>
    <row r="496" spans="2:6" ht="14.25" customHeight="1" x14ac:dyDescent="0.25">
      <c r="B496" s="6"/>
      <c r="C496" s="7"/>
      <c r="E496" s="8"/>
      <c r="F496" s="8"/>
    </row>
    <row r="497" spans="2:6" ht="14.25" customHeight="1" x14ac:dyDescent="0.25">
      <c r="B497" s="6"/>
      <c r="C497" s="7"/>
      <c r="E497" s="8"/>
      <c r="F497" s="8"/>
    </row>
    <row r="498" spans="2:6" ht="14.25" customHeight="1" x14ac:dyDescent="0.25">
      <c r="B498" s="6"/>
      <c r="C498" s="7"/>
      <c r="E498" s="8"/>
      <c r="F498" s="8"/>
    </row>
    <row r="499" spans="2:6" ht="14.25" customHeight="1" x14ac:dyDescent="0.25">
      <c r="B499" s="6"/>
      <c r="C499" s="7"/>
      <c r="E499" s="8"/>
      <c r="F499" s="8"/>
    </row>
    <row r="500" spans="2:6" ht="14.25" customHeight="1" x14ac:dyDescent="0.25">
      <c r="B500" s="6"/>
      <c r="C500" s="7"/>
      <c r="E500" s="8"/>
      <c r="F500" s="8"/>
    </row>
    <row r="501" spans="2:6" ht="14.25" customHeight="1" x14ac:dyDescent="0.25">
      <c r="B501" s="6"/>
      <c r="C501" s="7"/>
      <c r="E501" s="8"/>
      <c r="F501" s="8"/>
    </row>
    <row r="502" spans="2:6" ht="14.25" customHeight="1" x14ac:dyDescent="0.25">
      <c r="B502" s="6"/>
      <c r="C502" s="7"/>
      <c r="E502" s="8"/>
      <c r="F502" s="8"/>
    </row>
    <row r="503" spans="2:6" ht="14.25" customHeight="1" x14ac:dyDescent="0.25">
      <c r="B503" s="6"/>
      <c r="C503" s="7"/>
      <c r="E503" s="8"/>
      <c r="F503" s="8"/>
    </row>
    <row r="504" spans="2:6" ht="14.25" customHeight="1" x14ac:dyDescent="0.25">
      <c r="B504" s="6"/>
      <c r="C504" s="7"/>
      <c r="E504" s="8"/>
      <c r="F504" s="8"/>
    </row>
    <row r="505" spans="2:6" ht="14.25" customHeight="1" x14ac:dyDescent="0.25">
      <c r="B505" s="6"/>
      <c r="C505" s="7"/>
      <c r="E505" s="8"/>
      <c r="F505" s="8"/>
    </row>
    <row r="506" spans="2:6" ht="14.25" customHeight="1" x14ac:dyDescent="0.25">
      <c r="B506" s="6"/>
      <c r="C506" s="7"/>
      <c r="E506" s="8"/>
      <c r="F506" s="8"/>
    </row>
    <row r="507" spans="2:6" ht="14.25" customHeight="1" x14ac:dyDescent="0.25">
      <c r="B507" s="6"/>
      <c r="C507" s="7"/>
      <c r="E507" s="8"/>
      <c r="F507" s="8"/>
    </row>
    <row r="508" spans="2:6" ht="14.25" customHeight="1" x14ac:dyDescent="0.25">
      <c r="B508" s="6"/>
      <c r="C508" s="7"/>
      <c r="E508" s="8"/>
      <c r="F508" s="8"/>
    </row>
    <row r="509" spans="2:6" ht="14.25" customHeight="1" x14ac:dyDescent="0.25">
      <c r="B509" s="6"/>
      <c r="C509" s="7"/>
      <c r="E509" s="8"/>
      <c r="F509" s="8"/>
    </row>
    <row r="510" spans="2:6" ht="14.25" customHeight="1" x14ac:dyDescent="0.25">
      <c r="B510" s="6"/>
      <c r="C510" s="7"/>
      <c r="E510" s="8"/>
      <c r="F510" s="8"/>
    </row>
    <row r="511" spans="2:6" ht="14.25" customHeight="1" x14ac:dyDescent="0.25">
      <c r="B511" s="6"/>
      <c r="C511" s="7"/>
      <c r="E511" s="8"/>
      <c r="F511" s="8"/>
    </row>
    <row r="512" spans="2:6" ht="14.25" customHeight="1" x14ac:dyDescent="0.25">
      <c r="B512" s="6"/>
      <c r="C512" s="7"/>
      <c r="E512" s="8"/>
      <c r="F512" s="8"/>
    </row>
    <row r="513" spans="2:6" ht="14.25" customHeight="1" x14ac:dyDescent="0.25">
      <c r="B513" s="6"/>
      <c r="C513" s="7"/>
      <c r="E513" s="8"/>
      <c r="F513" s="8"/>
    </row>
    <row r="514" spans="2:6" ht="14.25" customHeight="1" x14ac:dyDescent="0.25">
      <c r="B514" s="6"/>
      <c r="C514" s="7"/>
      <c r="E514" s="8"/>
      <c r="F514" s="8"/>
    </row>
    <row r="515" spans="2:6" ht="14.25" customHeight="1" x14ac:dyDescent="0.25">
      <c r="B515" s="6"/>
      <c r="C515" s="7"/>
      <c r="E515" s="8"/>
      <c r="F515" s="8"/>
    </row>
    <row r="516" spans="2:6" ht="14.25" customHeight="1" x14ac:dyDescent="0.25">
      <c r="B516" s="6"/>
      <c r="C516" s="7"/>
      <c r="E516" s="8"/>
      <c r="F516" s="8"/>
    </row>
    <row r="517" spans="2:6" ht="14.25" customHeight="1" x14ac:dyDescent="0.25">
      <c r="B517" s="6"/>
      <c r="C517" s="7"/>
      <c r="E517" s="8"/>
      <c r="F517" s="8"/>
    </row>
    <row r="518" spans="2:6" ht="14.25" customHeight="1" x14ac:dyDescent="0.25">
      <c r="B518" s="6"/>
      <c r="C518" s="7"/>
      <c r="E518" s="8"/>
      <c r="F518" s="8"/>
    </row>
    <row r="519" spans="2:6" ht="14.25" customHeight="1" x14ac:dyDescent="0.25">
      <c r="B519" s="6"/>
      <c r="C519" s="7"/>
      <c r="E519" s="8"/>
      <c r="F519" s="8"/>
    </row>
    <row r="520" spans="2:6" ht="14.25" customHeight="1" x14ac:dyDescent="0.25">
      <c r="B520" s="6"/>
      <c r="C520" s="7"/>
      <c r="E520" s="8"/>
      <c r="F520" s="8"/>
    </row>
    <row r="521" spans="2:6" ht="14.25" customHeight="1" x14ac:dyDescent="0.25">
      <c r="B521" s="6"/>
      <c r="C521" s="7"/>
      <c r="E521" s="8"/>
      <c r="F521" s="8"/>
    </row>
    <row r="522" spans="2:6" ht="14.25" customHeight="1" x14ac:dyDescent="0.25">
      <c r="B522" s="6"/>
      <c r="C522" s="7"/>
      <c r="E522" s="8"/>
      <c r="F522" s="8"/>
    </row>
    <row r="523" spans="2:6" ht="14.25" customHeight="1" x14ac:dyDescent="0.25">
      <c r="B523" s="6"/>
      <c r="C523" s="7"/>
      <c r="E523" s="8"/>
      <c r="F523" s="8"/>
    </row>
    <row r="524" spans="2:6" ht="14.25" customHeight="1" x14ac:dyDescent="0.25">
      <c r="B524" s="6"/>
      <c r="C524" s="7"/>
      <c r="E524" s="8"/>
      <c r="F524" s="8"/>
    </row>
    <row r="525" spans="2:6" ht="14.25" customHeight="1" x14ac:dyDescent="0.25">
      <c r="B525" s="6"/>
      <c r="C525" s="7"/>
      <c r="E525" s="8"/>
      <c r="F525" s="8"/>
    </row>
    <row r="526" spans="2:6" ht="14.25" customHeight="1" x14ac:dyDescent="0.25">
      <c r="B526" s="6"/>
      <c r="C526" s="7"/>
      <c r="E526" s="8"/>
      <c r="F526" s="8"/>
    </row>
    <row r="527" spans="2:6" ht="14.25" customHeight="1" x14ac:dyDescent="0.25">
      <c r="B527" s="6"/>
      <c r="C527" s="7"/>
      <c r="E527" s="8"/>
      <c r="F527" s="8"/>
    </row>
    <row r="528" spans="2:6" ht="14.25" customHeight="1" x14ac:dyDescent="0.25">
      <c r="B528" s="6"/>
      <c r="C528" s="7"/>
      <c r="E528" s="8"/>
      <c r="F528" s="8"/>
    </row>
    <row r="529" spans="2:6" ht="14.25" customHeight="1" x14ac:dyDescent="0.25">
      <c r="B529" s="6"/>
      <c r="C529" s="7"/>
      <c r="E529" s="8"/>
      <c r="F529" s="8"/>
    </row>
    <row r="530" spans="2:6" ht="14.25" customHeight="1" x14ac:dyDescent="0.25">
      <c r="B530" s="6"/>
      <c r="C530" s="7"/>
      <c r="E530" s="8"/>
      <c r="F530" s="8"/>
    </row>
    <row r="531" spans="2:6" ht="14.25" customHeight="1" x14ac:dyDescent="0.25">
      <c r="B531" s="6"/>
      <c r="C531" s="7"/>
      <c r="E531" s="8"/>
      <c r="F531" s="8"/>
    </row>
    <row r="532" spans="2:6" ht="14.25" customHeight="1" x14ac:dyDescent="0.25">
      <c r="B532" s="6"/>
      <c r="C532" s="7"/>
      <c r="E532" s="8"/>
      <c r="F532" s="8"/>
    </row>
    <row r="533" spans="2:6" ht="14.25" customHeight="1" x14ac:dyDescent="0.25">
      <c r="B533" s="6"/>
      <c r="C533" s="7"/>
      <c r="E533" s="8"/>
      <c r="F533" s="8"/>
    </row>
    <row r="534" spans="2:6" ht="14.25" customHeight="1" x14ac:dyDescent="0.25">
      <c r="B534" s="6"/>
      <c r="C534" s="7"/>
      <c r="E534" s="8"/>
      <c r="F534" s="8"/>
    </row>
    <row r="535" spans="2:6" ht="14.25" customHeight="1" x14ac:dyDescent="0.25">
      <c r="B535" s="6"/>
      <c r="C535" s="7"/>
      <c r="E535" s="8"/>
      <c r="F535" s="8"/>
    </row>
    <row r="536" spans="2:6" ht="14.25" customHeight="1" x14ac:dyDescent="0.25">
      <c r="B536" s="6"/>
      <c r="C536" s="7"/>
      <c r="E536" s="8"/>
      <c r="F536" s="8"/>
    </row>
    <row r="537" spans="2:6" ht="14.25" customHeight="1" x14ac:dyDescent="0.25">
      <c r="B537" s="6"/>
      <c r="C537" s="7"/>
      <c r="E537" s="8"/>
      <c r="F537" s="8"/>
    </row>
    <row r="538" spans="2:6" ht="14.25" customHeight="1" x14ac:dyDescent="0.25">
      <c r="B538" s="6"/>
      <c r="C538" s="7"/>
      <c r="E538" s="8"/>
      <c r="F538" s="8"/>
    </row>
    <row r="539" spans="2:6" ht="14.25" customHeight="1" x14ac:dyDescent="0.25">
      <c r="B539" s="6"/>
      <c r="C539" s="7"/>
      <c r="E539" s="8"/>
      <c r="F539" s="8"/>
    </row>
    <row r="540" spans="2:6" ht="14.25" customHeight="1" x14ac:dyDescent="0.25">
      <c r="B540" s="6"/>
      <c r="C540" s="7"/>
      <c r="E540" s="8"/>
      <c r="F540" s="8"/>
    </row>
    <row r="541" spans="2:6" ht="14.25" customHeight="1" x14ac:dyDescent="0.25">
      <c r="B541" s="6"/>
      <c r="C541" s="7"/>
      <c r="E541" s="8"/>
      <c r="F541" s="8"/>
    </row>
    <row r="542" spans="2:6" ht="14.25" customHeight="1" x14ac:dyDescent="0.25">
      <c r="B542" s="6"/>
      <c r="C542" s="7"/>
      <c r="E542" s="8"/>
      <c r="F542" s="8"/>
    </row>
    <row r="543" spans="2:6" ht="14.25" customHeight="1" x14ac:dyDescent="0.25">
      <c r="B543" s="6"/>
      <c r="C543" s="7"/>
      <c r="E543" s="8"/>
      <c r="F543" s="8"/>
    </row>
    <row r="544" spans="2:6" ht="14.25" customHeight="1" x14ac:dyDescent="0.25">
      <c r="B544" s="6"/>
      <c r="C544" s="7"/>
      <c r="E544" s="8"/>
      <c r="F544" s="8"/>
    </row>
    <row r="545" spans="2:6" ht="14.25" customHeight="1" x14ac:dyDescent="0.25">
      <c r="B545" s="6"/>
      <c r="C545" s="7"/>
      <c r="E545" s="8"/>
      <c r="F545" s="8"/>
    </row>
    <row r="546" spans="2:6" ht="14.25" customHeight="1" x14ac:dyDescent="0.25">
      <c r="B546" s="6"/>
      <c r="C546" s="7"/>
      <c r="E546" s="8"/>
      <c r="F546" s="8"/>
    </row>
    <row r="547" spans="2:6" ht="14.25" customHeight="1" x14ac:dyDescent="0.25">
      <c r="B547" s="6"/>
      <c r="C547" s="7"/>
      <c r="E547" s="8"/>
      <c r="F547" s="8"/>
    </row>
    <row r="548" spans="2:6" ht="14.25" customHeight="1" x14ac:dyDescent="0.25">
      <c r="B548" s="6"/>
      <c r="C548" s="7"/>
      <c r="E548" s="8"/>
      <c r="F548" s="8"/>
    </row>
    <row r="549" spans="2:6" ht="14.25" customHeight="1" x14ac:dyDescent="0.25">
      <c r="B549" s="6"/>
      <c r="C549" s="7"/>
      <c r="E549" s="8"/>
      <c r="F549" s="8"/>
    </row>
    <row r="550" spans="2:6" ht="14.25" customHeight="1" x14ac:dyDescent="0.25">
      <c r="B550" s="6"/>
      <c r="C550" s="7"/>
      <c r="E550" s="8"/>
      <c r="F550" s="8"/>
    </row>
    <row r="551" spans="2:6" ht="14.25" customHeight="1" x14ac:dyDescent="0.25">
      <c r="B551" s="6"/>
      <c r="C551" s="7"/>
      <c r="E551" s="8"/>
      <c r="F551" s="8"/>
    </row>
    <row r="552" spans="2:6" ht="14.25" customHeight="1" x14ac:dyDescent="0.25">
      <c r="B552" s="6"/>
      <c r="C552" s="7"/>
      <c r="E552" s="8"/>
      <c r="F552" s="8"/>
    </row>
    <row r="553" spans="2:6" ht="14.25" customHeight="1" x14ac:dyDescent="0.25">
      <c r="B553" s="6"/>
      <c r="C553" s="7"/>
      <c r="E553" s="8"/>
      <c r="F553" s="8"/>
    </row>
    <row r="554" spans="2:6" ht="14.25" customHeight="1" x14ac:dyDescent="0.25">
      <c r="B554" s="6"/>
      <c r="C554" s="7"/>
      <c r="E554" s="8"/>
      <c r="F554" s="8"/>
    </row>
    <row r="555" spans="2:6" ht="14.25" customHeight="1" x14ac:dyDescent="0.25">
      <c r="B555" s="6"/>
      <c r="C555" s="7"/>
      <c r="E555" s="8"/>
      <c r="F555" s="8"/>
    </row>
    <row r="556" spans="2:6" ht="14.25" customHeight="1" x14ac:dyDescent="0.25">
      <c r="B556" s="6"/>
      <c r="C556" s="7"/>
      <c r="E556" s="8"/>
      <c r="F556" s="8"/>
    </row>
    <row r="557" spans="2:6" ht="14.25" customHeight="1" x14ac:dyDescent="0.25">
      <c r="B557" s="6"/>
      <c r="C557" s="7"/>
      <c r="E557" s="8"/>
      <c r="F557" s="8"/>
    </row>
    <row r="558" spans="2:6" ht="14.25" customHeight="1" x14ac:dyDescent="0.25">
      <c r="B558" s="6"/>
      <c r="C558" s="7"/>
      <c r="E558" s="8"/>
      <c r="F558" s="8"/>
    </row>
    <row r="559" spans="2:6" ht="14.25" customHeight="1" x14ac:dyDescent="0.25">
      <c r="B559" s="6"/>
      <c r="C559" s="7"/>
      <c r="E559" s="8"/>
      <c r="F559" s="8"/>
    </row>
    <row r="560" spans="2:6" ht="14.25" customHeight="1" x14ac:dyDescent="0.25">
      <c r="B560" s="6"/>
      <c r="C560" s="7"/>
      <c r="E560" s="8"/>
      <c r="F560" s="8"/>
    </row>
    <row r="561" spans="2:6" ht="14.25" customHeight="1" x14ac:dyDescent="0.25">
      <c r="B561" s="6"/>
      <c r="C561" s="7"/>
      <c r="E561" s="8"/>
      <c r="F561" s="8"/>
    </row>
    <row r="562" spans="2:6" ht="14.25" customHeight="1" x14ac:dyDescent="0.25">
      <c r="B562" s="6"/>
      <c r="C562" s="7"/>
      <c r="E562" s="8"/>
      <c r="F562" s="8"/>
    </row>
    <row r="563" spans="2:6" ht="14.25" customHeight="1" x14ac:dyDescent="0.25">
      <c r="B563" s="6"/>
      <c r="C563" s="7"/>
      <c r="E563" s="8"/>
      <c r="F563" s="8"/>
    </row>
    <row r="564" spans="2:6" ht="14.25" customHeight="1" x14ac:dyDescent="0.25">
      <c r="B564" s="6"/>
      <c r="C564" s="7"/>
      <c r="E564" s="8"/>
      <c r="F564" s="8"/>
    </row>
    <row r="565" spans="2:6" ht="14.25" customHeight="1" x14ac:dyDescent="0.25">
      <c r="B565" s="6"/>
      <c r="C565" s="7"/>
      <c r="E565" s="8"/>
      <c r="F565" s="8"/>
    </row>
    <row r="566" spans="2:6" ht="14.25" customHeight="1" x14ac:dyDescent="0.25">
      <c r="B566" s="6"/>
      <c r="C566" s="7"/>
      <c r="E566" s="8"/>
      <c r="F566" s="8"/>
    </row>
    <row r="567" spans="2:6" ht="14.25" customHeight="1" x14ac:dyDescent="0.25">
      <c r="B567" s="6"/>
      <c r="C567" s="7"/>
      <c r="E567" s="8"/>
      <c r="F567" s="8"/>
    </row>
    <row r="568" spans="2:6" ht="14.25" customHeight="1" x14ac:dyDescent="0.25">
      <c r="B568" s="6"/>
      <c r="C568" s="7"/>
      <c r="E568" s="8"/>
      <c r="F568" s="8"/>
    </row>
    <row r="569" spans="2:6" ht="14.25" customHeight="1" x14ac:dyDescent="0.25">
      <c r="B569" s="6"/>
      <c r="C569" s="7"/>
      <c r="E569" s="8"/>
      <c r="F569" s="8"/>
    </row>
    <row r="570" spans="2:6" ht="14.25" customHeight="1" x14ac:dyDescent="0.25">
      <c r="B570" s="6"/>
      <c r="C570" s="7"/>
      <c r="E570" s="8"/>
      <c r="F570" s="8"/>
    </row>
    <row r="571" spans="2:6" ht="14.25" customHeight="1" x14ac:dyDescent="0.25">
      <c r="B571" s="6"/>
      <c r="C571" s="7"/>
      <c r="E571" s="8"/>
      <c r="F571" s="8"/>
    </row>
    <row r="572" spans="2:6" ht="14.25" customHeight="1" x14ac:dyDescent="0.25">
      <c r="B572" s="6"/>
      <c r="C572" s="7"/>
      <c r="E572" s="8"/>
      <c r="F572" s="8"/>
    </row>
    <row r="573" spans="2:6" ht="14.25" customHeight="1" x14ac:dyDescent="0.25">
      <c r="B573" s="6"/>
      <c r="C573" s="7"/>
      <c r="E573" s="8"/>
      <c r="F573" s="8"/>
    </row>
    <row r="574" spans="2:6" ht="14.25" customHeight="1" x14ac:dyDescent="0.25">
      <c r="B574" s="6"/>
      <c r="C574" s="7"/>
      <c r="E574" s="8"/>
      <c r="F574" s="8"/>
    </row>
    <row r="575" spans="2:6" ht="14.25" customHeight="1" x14ac:dyDescent="0.25">
      <c r="B575" s="6"/>
      <c r="C575" s="7"/>
      <c r="E575" s="8"/>
      <c r="F575" s="8"/>
    </row>
    <row r="576" spans="2:6" ht="14.25" customHeight="1" x14ac:dyDescent="0.25">
      <c r="B576" s="6"/>
      <c r="C576" s="7"/>
      <c r="E576" s="8"/>
      <c r="F576" s="8"/>
    </row>
    <row r="577" spans="2:6" ht="14.25" customHeight="1" x14ac:dyDescent="0.25">
      <c r="B577" s="6"/>
      <c r="C577" s="7"/>
      <c r="E577" s="8"/>
      <c r="F577" s="8"/>
    </row>
    <row r="578" spans="2:6" ht="14.25" customHeight="1" x14ac:dyDescent="0.25">
      <c r="B578" s="6"/>
      <c r="C578" s="7"/>
      <c r="E578" s="8"/>
      <c r="F578" s="8"/>
    </row>
    <row r="579" spans="2:6" ht="14.25" customHeight="1" x14ac:dyDescent="0.25">
      <c r="B579" s="6"/>
      <c r="C579" s="7"/>
      <c r="E579" s="8"/>
      <c r="F579" s="8"/>
    </row>
    <row r="580" spans="2:6" ht="14.25" customHeight="1" x14ac:dyDescent="0.25">
      <c r="B580" s="6"/>
      <c r="C580" s="7"/>
      <c r="E580" s="8"/>
      <c r="F580" s="8"/>
    </row>
    <row r="581" spans="2:6" ht="14.25" customHeight="1" x14ac:dyDescent="0.25">
      <c r="B581" s="6"/>
      <c r="C581" s="7"/>
      <c r="E581" s="8"/>
      <c r="F581" s="8"/>
    </row>
    <row r="582" spans="2:6" ht="14.25" customHeight="1" x14ac:dyDescent="0.25">
      <c r="B582" s="6"/>
      <c r="C582" s="7"/>
      <c r="E582" s="8"/>
      <c r="F582" s="8"/>
    </row>
    <row r="583" spans="2:6" ht="14.25" customHeight="1" x14ac:dyDescent="0.25">
      <c r="B583" s="6"/>
      <c r="C583" s="7"/>
      <c r="E583" s="8"/>
      <c r="F583" s="8"/>
    </row>
    <row r="584" spans="2:6" ht="14.25" customHeight="1" x14ac:dyDescent="0.25">
      <c r="B584" s="6"/>
      <c r="C584" s="7"/>
      <c r="E584" s="8"/>
      <c r="F584" s="8"/>
    </row>
    <row r="585" spans="2:6" ht="14.25" customHeight="1" x14ac:dyDescent="0.25">
      <c r="B585" s="6"/>
      <c r="C585" s="7"/>
      <c r="E585" s="8"/>
      <c r="F585" s="8"/>
    </row>
    <row r="586" spans="2:6" ht="14.25" customHeight="1" x14ac:dyDescent="0.25">
      <c r="B586" s="6"/>
      <c r="C586" s="7"/>
      <c r="E586" s="8"/>
      <c r="F586" s="8"/>
    </row>
    <row r="587" spans="2:6" ht="14.25" customHeight="1" x14ac:dyDescent="0.25">
      <c r="B587" s="6"/>
      <c r="C587" s="7"/>
      <c r="E587" s="8"/>
      <c r="F587" s="8"/>
    </row>
    <row r="588" spans="2:6" ht="14.25" customHeight="1" x14ac:dyDescent="0.25">
      <c r="B588" s="6"/>
      <c r="C588" s="7"/>
      <c r="E588" s="8"/>
      <c r="F588" s="8"/>
    </row>
    <row r="589" spans="2:6" ht="14.25" customHeight="1" x14ac:dyDescent="0.25">
      <c r="B589" s="6"/>
      <c r="C589" s="7"/>
      <c r="E589" s="8"/>
      <c r="F589" s="8"/>
    </row>
    <row r="590" spans="2:6" ht="14.25" customHeight="1" x14ac:dyDescent="0.25">
      <c r="B590" s="6"/>
      <c r="C590" s="7"/>
      <c r="E590" s="8"/>
      <c r="F590" s="8"/>
    </row>
    <row r="591" spans="2:6" ht="14.25" customHeight="1" x14ac:dyDescent="0.25">
      <c r="B591" s="6"/>
      <c r="C591" s="7"/>
      <c r="E591" s="8"/>
      <c r="F591" s="8"/>
    </row>
    <row r="592" spans="2:6" ht="14.25" customHeight="1" x14ac:dyDescent="0.25">
      <c r="B592" s="6"/>
      <c r="C592" s="7"/>
      <c r="E592" s="8"/>
      <c r="F592" s="8"/>
    </row>
    <row r="593" spans="2:6" ht="14.25" customHeight="1" x14ac:dyDescent="0.25">
      <c r="B593" s="6"/>
      <c r="C593" s="7"/>
      <c r="E593" s="8"/>
      <c r="F593" s="8"/>
    </row>
    <row r="594" spans="2:6" ht="14.25" customHeight="1" x14ac:dyDescent="0.25">
      <c r="B594" s="6"/>
      <c r="C594" s="7"/>
      <c r="E594" s="8"/>
      <c r="F594" s="8"/>
    </row>
    <row r="595" spans="2:6" ht="14.25" customHeight="1" x14ac:dyDescent="0.25">
      <c r="B595" s="6"/>
      <c r="C595" s="7"/>
      <c r="E595" s="8"/>
      <c r="F595" s="8"/>
    </row>
    <row r="596" spans="2:6" ht="14.25" customHeight="1" x14ac:dyDescent="0.25">
      <c r="B596" s="6"/>
      <c r="C596" s="7"/>
      <c r="E596" s="8"/>
      <c r="F596" s="8"/>
    </row>
    <row r="597" spans="2:6" ht="14.25" customHeight="1" x14ac:dyDescent="0.25">
      <c r="B597" s="6"/>
      <c r="C597" s="7"/>
      <c r="E597" s="8"/>
      <c r="F597" s="8"/>
    </row>
    <row r="598" spans="2:6" ht="14.25" customHeight="1" x14ac:dyDescent="0.25">
      <c r="B598" s="6"/>
      <c r="C598" s="7"/>
      <c r="E598" s="8"/>
      <c r="F598" s="8"/>
    </row>
    <row r="599" spans="2:6" ht="14.25" customHeight="1" x14ac:dyDescent="0.25">
      <c r="B599" s="6"/>
      <c r="C599" s="7"/>
      <c r="E599" s="8"/>
      <c r="F599" s="8"/>
    </row>
    <row r="600" spans="2:6" ht="14.25" customHeight="1" x14ac:dyDescent="0.25">
      <c r="B600" s="6"/>
      <c r="C600" s="7"/>
      <c r="E600" s="8"/>
      <c r="F600" s="8"/>
    </row>
    <row r="601" spans="2:6" ht="14.25" customHeight="1" x14ac:dyDescent="0.25">
      <c r="B601" s="6"/>
      <c r="C601" s="7"/>
      <c r="E601" s="8"/>
      <c r="F601" s="8"/>
    </row>
    <row r="602" spans="2:6" ht="14.25" customHeight="1" x14ac:dyDescent="0.25">
      <c r="B602" s="6"/>
      <c r="C602" s="7"/>
      <c r="E602" s="8"/>
      <c r="F602" s="8"/>
    </row>
    <row r="603" spans="2:6" ht="14.25" customHeight="1" x14ac:dyDescent="0.25">
      <c r="B603" s="6"/>
      <c r="C603" s="7"/>
      <c r="E603" s="8"/>
      <c r="F603" s="8"/>
    </row>
    <row r="604" spans="2:6" ht="14.25" customHeight="1" x14ac:dyDescent="0.25">
      <c r="B604" s="6"/>
      <c r="C604" s="7"/>
      <c r="E604" s="8"/>
      <c r="F604" s="8"/>
    </row>
    <row r="605" spans="2:6" ht="14.25" customHeight="1" x14ac:dyDescent="0.25">
      <c r="B605" s="6"/>
      <c r="C605" s="7"/>
      <c r="E605" s="8"/>
      <c r="F605" s="8"/>
    </row>
    <row r="606" spans="2:6" ht="14.25" customHeight="1" x14ac:dyDescent="0.25">
      <c r="B606" s="6"/>
      <c r="C606" s="7"/>
      <c r="E606" s="8"/>
      <c r="F606" s="8"/>
    </row>
    <row r="607" spans="2:6" ht="14.25" customHeight="1" x14ac:dyDescent="0.25">
      <c r="B607" s="6"/>
      <c r="C607" s="7"/>
      <c r="E607" s="8"/>
      <c r="F607" s="8"/>
    </row>
    <row r="608" spans="2:6" ht="14.25" customHeight="1" x14ac:dyDescent="0.25">
      <c r="B608" s="6"/>
      <c r="C608" s="7"/>
      <c r="E608" s="8"/>
      <c r="F608" s="8"/>
    </row>
    <row r="609" spans="2:6" ht="14.25" customHeight="1" x14ac:dyDescent="0.25">
      <c r="B609" s="6"/>
      <c r="C609" s="7"/>
      <c r="E609" s="8"/>
      <c r="F609" s="8"/>
    </row>
    <row r="610" spans="2:6" ht="14.25" customHeight="1" x14ac:dyDescent="0.25">
      <c r="B610" s="6"/>
      <c r="C610" s="7"/>
      <c r="E610" s="8"/>
      <c r="F610" s="8"/>
    </row>
    <row r="611" spans="2:6" ht="14.25" customHeight="1" x14ac:dyDescent="0.25">
      <c r="B611" s="6"/>
      <c r="C611" s="7"/>
      <c r="E611" s="8"/>
      <c r="F611" s="8"/>
    </row>
    <row r="612" spans="2:6" ht="14.25" customHeight="1" x14ac:dyDescent="0.25">
      <c r="B612" s="6"/>
      <c r="C612" s="7"/>
      <c r="E612" s="8"/>
      <c r="F612" s="8"/>
    </row>
    <row r="613" spans="2:6" ht="14.25" customHeight="1" x14ac:dyDescent="0.25">
      <c r="B613" s="6"/>
      <c r="C613" s="7"/>
      <c r="E613" s="8"/>
      <c r="F613" s="8"/>
    </row>
    <row r="614" spans="2:6" ht="14.25" customHeight="1" x14ac:dyDescent="0.25">
      <c r="B614" s="6"/>
      <c r="C614" s="7"/>
      <c r="E614" s="8"/>
      <c r="F614" s="8"/>
    </row>
    <row r="615" spans="2:6" ht="14.25" customHeight="1" x14ac:dyDescent="0.25">
      <c r="B615" s="6"/>
      <c r="C615" s="7"/>
      <c r="E615" s="8"/>
      <c r="F615" s="8"/>
    </row>
    <row r="616" spans="2:6" ht="14.25" customHeight="1" x14ac:dyDescent="0.25">
      <c r="B616" s="6"/>
      <c r="C616" s="7"/>
      <c r="E616" s="8"/>
      <c r="F616" s="8"/>
    </row>
    <row r="617" spans="2:6" ht="14.25" customHeight="1" x14ac:dyDescent="0.25">
      <c r="B617" s="6"/>
      <c r="C617" s="7"/>
      <c r="E617" s="8"/>
      <c r="F617" s="8"/>
    </row>
    <row r="618" spans="2:6" ht="14.25" customHeight="1" x14ac:dyDescent="0.25">
      <c r="B618" s="6"/>
      <c r="C618" s="7"/>
      <c r="E618" s="8"/>
      <c r="F618" s="8"/>
    </row>
    <row r="619" spans="2:6" ht="14.25" customHeight="1" x14ac:dyDescent="0.25">
      <c r="B619" s="6"/>
      <c r="C619" s="7"/>
      <c r="E619" s="8"/>
      <c r="F619" s="8"/>
    </row>
    <row r="620" spans="2:6" ht="14.25" customHeight="1" x14ac:dyDescent="0.25">
      <c r="B620" s="6"/>
      <c r="C620" s="7"/>
      <c r="E620" s="8"/>
      <c r="F620" s="8"/>
    </row>
    <row r="621" spans="2:6" ht="14.25" customHeight="1" x14ac:dyDescent="0.25">
      <c r="B621" s="6"/>
      <c r="C621" s="7"/>
      <c r="E621" s="8"/>
      <c r="F621" s="8"/>
    </row>
    <row r="622" spans="2:6" ht="14.25" customHeight="1" x14ac:dyDescent="0.25">
      <c r="B622" s="6"/>
      <c r="C622" s="7"/>
      <c r="E622" s="8"/>
      <c r="F622" s="8"/>
    </row>
    <row r="623" spans="2:6" ht="14.25" customHeight="1" x14ac:dyDescent="0.25">
      <c r="B623" s="6"/>
      <c r="C623" s="7"/>
      <c r="E623" s="8"/>
      <c r="F623" s="8"/>
    </row>
    <row r="624" spans="2:6" ht="14.25" customHeight="1" x14ac:dyDescent="0.25">
      <c r="B624" s="6"/>
      <c r="C624" s="7"/>
      <c r="E624" s="8"/>
      <c r="F624" s="8"/>
    </row>
    <row r="625" spans="2:6" ht="14.25" customHeight="1" x14ac:dyDescent="0.25">
      <c r="B625" s="6"/>
      <c r="C625" s="7"/>
      <c r="E625" s="8"/>
      <c r="F625" s="8"/>
    </row>
    <row r="626" spans="2:6" ht="14.25" customHeight="1" x14ac:dyDescent="0.25">
      <c r="B626" s="6"/>
      <c r="C626" s="7"/>
      <c r="E626" s="8"/>
      <c r="F626" s="8"/>
    </row>
    <row r="627" spans="2:6" ht="14.25" customHeight="1" x14ac:dyDescent="0.25">
      <c r="B627" s="6"/>
      <c r="C627" s="7"/>
      <c r="E627" s="8"/>
      <c r="F627" s="8"/>
    </row>
    <row r="628" spans="2:6" ht="14.25" customHeight="1" x14ac:dyDescent="0.25">
      <c r="B628" s="6"/>
      <c r="C628" s="7"/>
      <c r="E628" s="8"/>
      <c r="F628" s="8"/>
    </row>
    <row r="629" spans="2:6" ht="14.25" customHeight="1" x14ac:dyDescent="0.25">
      <c r="B629" s="6"/>
      <c r="C629" s="7"/>
      <c r="E629" s="8"/>
      <c r="F629" s="8"/>
    </row>
    <row r="630" spans="2:6" ht="14.25" customHeight="1" x14ac:dyDescent="0.25">
      <c r="B630" s="6"/>
      <c r="C630" s="7"/>
      <c r="E630" s="8"/>
      <c r="F630" s="8"/>
    </row>
    <row r="631" spans="2:6" ht="14.25" customHeight="1" x14ac:dyDescent="0.25">
      <c r="B631" s="6"/>
      <c r="C631" s="7"/>
      <c r="E631" s="8"/>
      <c r="F631" s="8"/>
    </row>
    <row r="632" spans="2:6" ht="14.25" customHeight="1" x14ac:dyDescent="0.25">
      <c r="B632" s="6"/>
      <c r="C632" s="7"/>
      <c r="E632" s="8"/>
      <c r="F632" s="8"/>
    </row>
    <row r="633" spans="2:6" ht="14.25" customHeight="1" x14ac:dyDescent="0.25">
      <c r="B633" s="6"/>
      <c r="C633" s="7"/>
      <c r="E633" s="8"/>
      <c r="F633" s="8"/>
    </row>
    <row r="634" spans="2:6" ht="14.25" customHeight="1" x14ac:dyDescent="0.25">
      <c r="B634" s="6"/>
      <c r="C634" s="7"/>
      <c r="E634" s="8"/>
      <c r="F634" s="8"/>
    </row>
    <row r="635" spans="2:6" ht="14.25" customHeight="1" x14ac:dyDescent="0.25">
      <c r="B635" s="6"/>
      <c r="C635" s="7"/>
      <c r="E635" s="8"/>
      <c r="F635" s="8"/>
    </row>
    <row r="636" spans="2:6" ht="14.25" customHeight="1" x14ac:dyDescent="0.25">
      <c r="B636" s="6"/>
      <c r="C636" s="7"/>
      <c r="E636" s="8"/>
      <c r="F636" s="8"/>
    </row>
    <row r="637" spans="2:6" ht="14.25" customHeight="1" x14ac:dyDescent="0.25">
      <c r="B637" s="6"/>
      <c r="C637" s="7"/>
      <c r="E637" s="8"/>
      <c r="F637" s="8"/>
    </row>
    <row r="638" spans="2:6" ht="14.25" customHeight="1" x14ac:dyDescent="0.25">
      <c r="B638" s="6"/>
      <c r="C638" s="7"/>
      <c r="E638" s="8"/>
      <c r="F638" s="8"/>
    </row>
    <row r="639" spans="2:6" ht="14.25" customHeight="1" x14ac:dyDescent="0.25">
      <c r="B639" s="6"/>
      <c r="C639" s="7"/>
      <c r="E639" s="8"/>
      <c r="F639" s="8"/>
    </row>
    <row r="640" spans="2:6" ht="14.25" customHeight="1" x14ac:dyDescent="0.25">
      <c r="B640" s="6"/>
      <c r="C640" s="7"/>
      <c r="E640" s="8"/>
      <c r="F640" s="8"/>
    </row>
    <row r="641" spans="2:6" ht="14.25" customHeight="1" x14ac:dyDescent="0.25">
      <c r="B641" s="6"/>
      <c r="C641" s="7"/>
      <c r="E641" s="8"/>
      <c r="F641" s="8"/>
    </row>
    <row r="642" spans="2:6" ht="14.25" customHeight="1" x14ac:dyDescent="0.25">
      <c r="B642" s="6"/>
      <c r="C642" s="7"/>
      <c r="E642" s="8"/>
      <c r="F642" s="8"/>
    </row>
    <row r="643" spans="2:6" ht="14.25" customHeight="1" x14ac:dyDescent="0.25">
      <c r="B643" s="6"/>
      <c r="C643" s="7"/>
      <c r="E643" s="8"/>
      <c r="F643" s="8"/>
    </row>
    <row r="644" spans="2:6" ht="14.25" customHeight="1" x14ac:dyDescent="0.25">
      <c r="B644" s="6"/>
      <c r="C644" s="7"/>
      <c r="E644" s="8"/>
      <c r="F644" s="8"/>
    </row>
    <row r="645" spans="2:6" ht="14.25" customHeight="1" x14ac:dyDescent="0.25">
      <c r="B645" s="6"/>
      <c r="C645" s="7"/>
      <c r="E645" s="8"/>
      <c r="F645" s="8"/>
    </row>
    <row r="646" spans="2:6" ht="14.25" customHeight="1" x14ac:dyDescent="0.25">
      <c r="B646" s="6"/>
      <c r="C646" s="7"/>
      <c r="E646" s="8"/>
      <c r="F646" s="8"/>
    </row>
    <row r="647" spans="2:6" ht="14.25" customHeight="1" x14ac:dyDescent="0.25">
      <c r="B647" s="6"/>
      <c r="C647" s="7"/>
      <c r="E647" s="8"/>
      <c r="F647" s="8"/>
    </row>
    <row r="648" spans="2:6" ht="14.25" customHeight="1" x14ac:dyDescent="0.25">
      <c r="B648" s="6"/>
      <c r="C648" s="7"/>
      <c r="E648" s="8"/>
      <c r="F648" s="8"/>
    </row>
    <row r="649" spans="2:6" ht="14.25" customHeight="1" x14ac:dyDescent="0.25">
      <c r="B649" s="6"/>
      <c r="C649" s="7"/>
      <c r="E649" s="8"/>
      <c r="F649" s="8"/>
    </row>
    <row r="650" spans="2:6" ht="14.25" customHeight="1" x14ac:dyDescent="0.25">
      <c r="B650" s="6"/>
      <c r="C650" s="7"/>
      <c r="E650" s="8"/>
      <c r="F650" s="8"/>
    </row>
    <row r="651" spans="2:6" ht="14.25" customHeight="1" x14ac:dyDescent="0.25">
      <c r="B651" s="6"/>
      <c r="C651" s="7"/>
      <c r="E651" s="8"/>
      <c r="F651" s="8"/>
    </row>
    <row r="652" spans="2:6" ht="14.25" customHeight="1" x14ac:dyDescent="0.25">
      <c r="B652" s="6"/>
      <c r="C652" s="7"/>
      <c r="E652" s="8"/>
      <c r="F652" s="8"/>
    </row>
    <row r="653" spans="2:6" ht="14.25" customHeight="1" x14ac:dyDescent="0.25">
      <c r="B653" s="6"/>
      <c r="C653" s="7"/>
      <c r="E653" s="8"/>
      <c r="F653" s="8"/>
    </row>
    <row r="654" spans="2:6" ht="14.25" customHeight="1" x14ac:dyDescent="0.25">
      <c r="B654" s="6"/>
      <c r="C654" s="7"/>
      <c r="E654" s="8"/>
      <c r="F654" s="8"/>
    </row>
    <row r="655" spans="2:6" ht="14.25" customHeight="1" x14ac:dyDescent="0.25">
      <c r="B655" s="6"/>
      <c r="C655" s="7"/>
      <c r="E655" s="8"/>
      <c r="F655" s="8"/>
    </row>
    <row r="656" spans="2:6" ht="14.25" customHeight="1" x14ac:dyDescent="0.25">
      <c r="B656" s="6"/>
      <c r="C656" s="7"/>
      <c r="E656" s="8"/>
      <c r="F656" s="8"/>
    </row>
    <row r="657" spans="2:6" ht="14.25" customHeight="1" x14ac:dyDescent="0.25">
      <c r="B657" s="6"/>
      <c r="C657" s="7"/>
      <c r="E657" s="8"/>
      <c r="F657" s="8"/>
    </row>
    <row r="658" spans="2:6" ht="14.25" customHeight="1" x14ac:dyDescent="0.25">
      <c r="B658" s="6"/>
      <c r="C658" s="7"/>
      <c r="E658" s="8"/>
      <c r="F658" s="8"/>
    </row>
    <row r="659" spans="2:6" ht="14.25" customHeight="1" x14ac:dyDescent="0.25">
      <c r="B659" s="6"/>
      <c r="C659" s="7"/>
      <c r="E659" s="8"/>
      <c r="F659" s="8"/>
    </row>
    <row r="660" spans="2:6" ht="14.25" customHeight="1" x14ac:dyDescent="0.25">
      <c r="B660" s="6"/>
      <c r="C660" s="7"/>
      <c r="E660" s="8"/>
      <c r="F660" s="8"/>
    </row>
    <row r="661" spans="2:6" ht="14.25" customHeight="1" x14ac:dyDescent="0.25">
      <c r="B661" s="6"/>
      <c r="C661" s="7"/>
      <c r="E661" s="8"/>
      <c r="F661" s="8"/>
    </row>
    <row r="662" spans="2:6" ht="14.25" customHeight="1" x14ac:dyDescent="0.25">
      <c r="B662" s="6"/>
      <c r="C662" s="7"/>
      <c r="E662" s="8"/>
      <c r="F662" s="8"/>
    </row>
    <row r="663" spans="2:6" ht="14.25" customHeight="1" x14ac:dyDescent="0.25">
      <c r="B663" s="6"/>
      <c r="C663" s="7"/>
      <c r="E663" s="8"/>
      <c r="F663" s="8"/>
    </row>
    <row r="664" spans="2:6" ht="14.25" customHeight="1" x14ac:dyDescent="0.25">
      <c r="B664" s="6"/>
      <c r="C664" s="7"/>
      <c r="E664" s="8"/>
      <c r="F664" s="8"/>
    </row>
    <row r="665" spans="2:6" ht="14.25" customHeight="1" x14ac:dyDescent="0.25">
      <c r="B665" s="6"/>
      <c r="C665" s="7"/>
      <c r="E665" s="8"/>
      <c r="F665" s="8"/>
    </row>
    <row r="666" spans="2:6" ht="14.25" customHeight="1" x14ac:dyDescent="0.25">
      <c r="B666" s="6"/>
      <c r="C666" s="7"/>
      <c r="E666" s="8"/>
      <c r="F666" s="8"/>
    </row>
    <row r="667" spans="2:6" ht="14.25" customHeight="1" x14ac:dyDescent="0.25">
      <c r="B667" s="6"/>
      <c r="C667" s="7"/>
      <c r="E667" s="8"/>
      <c r="F667" s="8"/>
    </row>
    <row r="668" spans="2:6" ht="14.25" customHeight="1" x14ac:dyDescent="0.25">
      <c r="B668" s="6"/>
      <c r="C668" s="7"/>
      <c r="E668" s="8"/>
      <c r="F668" s="8"/>
    </row>
    <row r="669" spans="2:6" ht="14.25" customHeight="1" x14ac:dyDescent="0.25">
      <c r="B669" s="6"/>
      <c r="C669" s="7"/>
      <c r="E669" s="8"/>
      <c r="F669" s="8"/>
    </row>
    <row r="670" spans="2:6" ht="14.25" customHeight="1" x14ac:dyDescent="0.25">
      <c r="B670" s="6"/>
      <c r="C670" s="7"/>
      <c r="E670" s="8"/>
      <c r="F670" s="8"/>
    </row>
    <row r="671" spans="2:6" ht="14.25" customHeight="1" x14ac:dyDescent="0.25">
      <c r="B671" s="6"/>
      <c r="C671" s="7"/>
      <c r="E671" s="8"/>
      <c r="F671" s="8"/>
    </row>
    <row r="672" spans="2:6" ht="14.25" customHeight="1" x14ac:dyDescent="0.25">
      <c r="B672" s="6"/>
      <c r="C672" s="7"/>
      <c r="E672" s="8"/>
      <c r="F672" s="8"/>
    </row>
    <row r="673" spans="2:6" ht="14.25" customHeight="1" x14ac:dyDescent="0.25">
      <c r="B673" s="6"/>
      <c r="C673" s="7"/>
      <c r="E673" s="8"/>
      <c r="F673" s="8"/>
    </row>
    <row r="674" spans="2:6" ht="14.25" customHeight="1" x14ac:dyDescent="0.25">
      <c r="B674" s="6"/>
      <c r="C674" s="7"/>
      <c r="E674" s="8"/>
      <c r="F674" s="8"/>
    </row>
    <row r="675" spans="2:6" ht="14.25" customHeight="1" x14ac:dyDescent="0.25">
      <c r="B675" s="6"/>
      <c r="C675" s="7"/>
      <c r="E675" s="8"/>
      <c r="F675" s="8"/>
    </row>
    <row r="676" spans="2:6" ht="14.25" customHeight="1" x14ac:dyDescent="0.25">
      <c r="B676" s="6"/>
      <c r="C676" s="7"/>
      <c r="E676" s="8"/>
      <c r="F676" s="8"/>
    </row>
    <row r="677" spans="2:6" ht="14.25" customHeight="1" x14ac:dyDescent="0.25">
      <c r="B677" s="6"/>
      <c r="C677" s="7"/>
      <c r="E677" s="8"/>
      <c r="F677" s="8"/>
    </row>
    <row r="678" spans="2:6" ht="14.25" customHeight="1" x14ac:dyDescent="0.25">
      <c r="B678" s="6"/>
      <c r="C678" s="7"/>
      <c r="E678" s="8"/>
      <c r="F678" s="8"/>
    </row>
    <row r="679" spans="2:6" ht="14.25" customHeight="1" x14ac:dyDescent="0.25">
      <c r="B679" s="6"/>
      <c r="C679" s="7"/>
      <c r="E679" s="8"/>
      <c r="F679" s="8"/>
    </row>
    <row r="680" spans="2:6" ht="14.25" customHeight="1" x14ac:dyDescent="0.25">
      <c r="B680" s="6"/>
      <c r="C680" s="7"/>
      <c r="E680" s="8"/>
      <c r="F680" s="8"/>
    </row>
    <row r="681" spans="2:6" ht="14.25" customHeight="1" x14ac:dyDescent="0.25">
      <c r="B681" s="6"/>
      <c r="C681" s="7"/>
      <c r="E681" s="8"/>
      <c r="F681" s="8"/>
    </row>
    <row r="682" spans="2:6" ht="14.25" customHeight="1" x14ac:dyDescent="0.25">
      <c r="B682" s="6"/>
      <c r="C682" s="7"/>
      <c r="E682" s="8"/>
      <c r="F682" s="8"/>
    </row>
    <row r="683" spans="2:6" ht="14.25" customHeight="1" x14ac:dyDescent="0.25">
      <c r="B683" s="6"/>
      <c r="C683" s="7"/>
      <c r="E683" s="8"/>
      <c r="F683" s="8"/>
    </row>
    <row r="684" spans="2:6" ht="14.25" customHeight="1" x14ac:dyDescent="0.25">
      <c r="B684" s="6"/>
      <c r="C684" s="7"/>
      <c r="E684" s="8"/>
      <c r="F684" s="8"/>
    </row>
    <row r="685" spans="2:6" ht="14.25" customHeight="1" x14ac:dyDescent="0.25">
      <c r="B685" s="6"/>
      <c r="C685" s="7"/>
      <c r="E685" s="8"/>
      <c r="F685" s="8"/>
    </row>
    <row r="686" spans="2:6" ht="14.25" customHeight="1" x14ac:dyDescent="0.25">
      <c r="B686" s="6"/>
      <c r="C686" s="7"/>
      <c r="E686" s="8"/>
      <c r="F686" s="8"/>
    </row>
    <row r="687" spans="2:6" ht="14.25" customHeight="1" x14ac:dyDescent="0.25">
      <c r="B687" s="6"/>
      <c r="C687" s="7"/>
      <c r="E687" s="8"/>
      <c r="F687" s="8"/>
    </row>
    <row r="688" spans="2:6" ht="14.25" customHeight="1" x14ac:dyDescent="0.25">
      <c r="B688" s="6"/>
      <c r="C688" s="7"/>
      <c r="E688" s="8"/>
      <c r="F688" s="8"/>
    </row>
    <row r="689" spans="2:6" ht="14.25" customHeight="1" x14ac:dyDescent="0.25">
      <c r="B689" s="6"/>
      <c r="C689" s="7"/>
      <c r="E689" s="8"/>
      <c r="F689" s="8"/>
    </row>
    <row r="690" spans="2:6" ht="14.25" customHeight="1" x14ac:dyDescent="0.25">
      <c r="B690" s="6"/>
      <c r="C690" s="7"/>
      <c r="E690" s="8"/>
      <c r="F690" s="8"/>
    </row>
    <row r="691" spans="2:6" ht="14.25" customHeight="1" x14ac:dyDescent="0.25">
      <c r="B691" s="6"/>
      <c r="C691" s="7"/>
      <c r="E691" s="8"/>
      <c r="F691" s="8"/>
    </row>
    <row r="692" spans="2:6" ht="14.25" customHeight="1" x14ac:dyDescent="0.25">
      <c r="B692" s="6"/>
      <c r="C692" s="7"/>
      <c r="E692" s="8"/>
      <c r="F692" s="8"/>
    </row>
    <row r="693" spans="2:6" ht="14.25" customHeight="1" x14ac:dyDescent="0.25">
      <c r="B693" s="6"/>
      <c r="C693" s="7"/>
      <c r="E693" s="8"/>
      <c r="F693" s="8"/>
    </row>
    <row r="694" spans="2:6" ht="14.25" customHeight="1" x14ac:dyDescent="0.25">
      <c r="B694" s="6"/>
      <c r="C694" s="7"/>
      <c r="E694" s="8"/>
      <c r="F694" s="8"/>
    </row>
    <row r="695" spans="2:6" ht="14.25" customHeight="1" x14ac:dyDescent="0.25">
      <c r="B695" s="6"/>
      <c r="C695" s="7"/>
      <c r="E695" s="8"/>
      <c r="F695" s="8"/>
    </row>
    <row r="696" spans="2:6" ht="14.25" customHeight="1" x14ac:dyDescent="0.25">
      <c r="B696" s="6"/>
      <c r="C696" s="7"/>
      <c r="E696" s="8"/>
      <c r="F696" s="8"/>
    </row>
    <row r="697" spans="2:6" ht="14.25" customHeight="1" x14ac:dyDescent="0.25">
      <c r="B697" s="6"/>
      <c r="C697" s="7"/>
      <c r="E697" s="8"/>
      <c r="F697" s="8"/>
    </row>
    <row r="698" spans="2:6" ht="14.25" customHeight="1" x14ac:dyDescent="0.25">
      <c r="B698" s="6"/>
      <c r="C698" s="7"/>
      <c r="E698" s="8"/>
      <c r="F698" s="8"/>
    </row>
    <row r="699" spans="2:6" ht="14.25" customHeight="1" x14ac:dyDescent="0.25">
      <c r="B699" s="6"/>
      <c r="C699" s="7"/>
      <c r="E699" s="8"/>
      <c r="F699" s="8"/>
    </row>
    <row r="700" spans="2:6" ht="14.25" customHeight="1" x14ac:dyDescent="0.25">
      <c r="B700" s="6"/>
      <c r="C700" s="7"/>
      <c r="E700" s="8"/>
      <c r="F700" s="8"/>
    </row>
    <row r="701" spans="2:6" ht="14.25" customHeight="1" x14ac:dyDescent="0.25">
      <c r="B701" s="6"/>
      <c r="C701" s="7"/>
      <c r="E701" s="8"/>
      <c r="F701" s="8"/>
    </row>
    <row r="702" spans="2:6" ht="14.25" customHeight="1" x14ac:dyDescent="0.25">
      <c r="B702" s="6"/>
      <c r="C702" s="7"/>
      <c r="E702" s="8"/>
      <c r="F702" s="8"/>
    </row>
    <row r="703" spans="2:6" ht="14.25" customHeight="1" x14ac:dyDescent="0.25">
      <c r="B703" s="6"/>
      <c r="C703" s="7"/>
      <c r="E703" s="8"/>
      <c r="F703" s="8"/>
    </row>
    <row r="704" spans="2:6" ht="14.25" customHeight="1" x14ac:dyDescent="0.25">
      <c r="B704" s="6"/>
      <c r="C704" s="7"/>
      <c r="E704" s="8"/>
      <c r="F704" s="8"/>
    </row>
    <row r="705" spans="2:6" ht="14.25" customHeight="1" x14ac:dyDescent="0.25">
      <c r="B705" s="6"/>
      <c r="C705" s="7"/>
      <c r="E705" s="8"/>
      <c r="F705" s="8"/>
    </row>
    <row r="706" spans="2:6" ht="14.25" customHeight="1" x14ac:dyDescent="0.25">
      <c r="B706" s="6"/>
      <c r="C706" s="7"/>
      <c r="E706" s="8"/>
      <c r="F706" s="8"/>
    </row>
    <row r="707" spans="2:6" ht="14.25" customHeight="1" x14ac:dyDescent="0.25">
      <c r="B707" s="6"/>
      <c r="C707" s="7"/>
      <c r="E707" s="8"/>
      <c r="F707" s="8"/>
    </row>
    <row r="708" spans="2:6" ht="14.25" customHeight="1" x14ac:dyDescent="0.25">
      <c r="B708" s="6"/>
      <c r="C708" s="7"/>
      <c r="E708" s="8"/>
      <c r="F708" s="8"/>
    </row>
    <row r="709" spans="2:6" ht="14.25" customHeight="1" x14ac:dyDescent="0.25">
      <c r="B709" s="6"/>
      <c r="C709" s="7"/>
      <c r="E709" s="8"/>
      <c r="F709" s="8"/>
    </row>
    <row r="710" spans="2:6" ht="14.25" customHeight="1" x14ac:dyDescent="0.25">
      <c r="B710" s="6"/>
      <c r="C710" s="7"/>
      <c r="E710" s="8"/>
      <c r="F710" s="8"/>
    </row>
    <row r="711" spans="2:6" ht="14.25" customHeight="1" x14ac:dyDescent="0.25">
      <c r="B711" s="6"/>
      <c r="C711" s="7"/>
      <c r="E711" s="8"/>
      <c r="F711" s="8"/>
    </row>
    <row r="712" spans="2:6" ht="14.25" customHeight="1" x14ac:dyDescent="0.25">
      <c r="B712" s="6"/>
      <c r="C712" s="7"/>
      <c r="E712" s="8"/>
      <c r="F712" s="8"/>
    </row>
    <row r="713" spans="2:6" ht="14.25" customHeight="1" x14ac:dyDescent="0.25">
      <c r="B713" s="6"/>
      <c r="C713" s="7"/>
      <c r="E713" s="8"/>
      <c r="F713" s="8"/>
    </row>
    <row r="714" spans="2:6" ht="14.25" customHeight="1" x14ac:dyDescent="0.25">
      <c r="B714" s="6"/>
      <c r="C714" s="7"/>
      <c r="E714" s="8"/>
      <c r="F714" s="8"/>
    </row>
    <row r="715" spans="2:6" ht="14.25" customHeight="1" x14ac:dyDescent="0.25">
      <c r="B715" s="6"/>
      <c r="C715" s="7"/>
      <c r="E715" s="8"/>
      <c r="F715" s="8"/>
    </row>
    <row r="716" spans="2:6" ht="14.25" customHeight="1" x14ac:dyDescent="0.25">
      <c r="B716" s="6"/>
      <c r="C716" s="7"/>
      <c r="E716" s="8"/>
      <c r="F716" s="8"/>
    </row>
    <row r="717" spans="2:6" ht="14.25" customHeight="1" x14ac:dyDescent="0.25">
      <c r="B717" s="6"/>
      <c r="C717" s="7"/>
      <c r="E717" s="8"/>
      <c r="F717" s="8"/>
    </row>
    <row r="718" spans="2:6" ht="14.25" customHeight="1" x14ac:dyDescent="0.25">
      <c r="B718" s="6"/>
      <c r="C718" s="7"/>
      <c r="E718" s="8"/>
      <c r="F718" s="8"/>
    </row>
    <row r="719" spans="2:6" ht="14.25" customHeight="1" x14ac:dyDescent="0.25">
      <c r="B719" s="6"/>
      <c r="C719" s="7"/>
      <c r="E719" s="8"/>
      <c r="F719" s="8"/>
    </row>
    <row r="720" spans="2:6" ht="14.25" customHeight="1" x14ac:dyDescent="0.25">
      <c r="B720" s="6"/>
      <c r="C720" s="7"/>
      <c r="E720" s="8"/>
      <c r="F720" s="8"/>
    </row>
    <row r="721" spans="2:6" ht="14.25" customHeight="1" x14ac:dyDescent="0.25">
      <c r="B721" s="6"/>
      <c r="C721" s="7"/>
      <c r="E721" s="8"/>
      <c r="F721" s="8"/>
    </row>
    <row r="722" spans="2:6" ht="14.25" customHeight="1" x14ac:dyDescent="0.25">
      <c r="B722" s="6"/>
      <c r="C722" s="7"/>
      <c r="E722" s="8"/>
      <c r="F722" s="8"/>
    </row>
    <row r="723" spans="2:6" ht="14.25" customHeight="1" x14ac:dyDescent="0.25">
      <c r="B723" s="6"/>
      <c r="C723" s="7"/>
      <c r="E723" s="8"/>
      <c r="F723" s="8"/>
    </row>
    <row r="724" spans="2:6" ht="14.25" customHeight="1" x14ac:dyDescent="0.25">
      <c r="B724" s="6"/>
      <c r="C724" s="7"/>
      <c r="E724" s="8"/>
      <c r="F724" s="8"/>
    </row>
    <row r="725" spans="2:6" ht="14.25" customHeight="1" x14ac:dyDescent="0.25">
      <c r="B725" s="6"/>
      <c r="C725" s="7"/>
      <c r="E725" s="8"/>
      <c r="F725" s="8"/>
    </row>
    <row r="726" spans="2:6" ht="14.25" customHeight="1" x14ac:dyDescent="0.25">
      <c r="B726" s="6"/>
      <c r="C726" s="7"/>
      <c r="E726" s="8"/>
      <c r="F726" s="8"/>
    </row>
    <row r="727" spans="2:6" ht="14.25" customHeight="1" x14ac:dyDescent="0.25">
      <c r="B727" s="6"/>
      <c r="C727" s="7"/>
      <c r="E727" s="8"/>
      <c r="F727" s="8"/>
    </row>
    <row r="728" spans="2:6" ht="14.25" customHeight="1" x14ac:dyDescent="0.25">
      <c r="B728" s="6"/>
      <c r="C728" s="7"/>
      <c r="E728" s="8"/>
      <c r="F728" s="8"/>
    </row>
    <row r="729" spans="2:6" ht="14.25" customHeight="1" x14ac:dyDescent="0.25">
      <c r="B729" s="6"/>
      <c r="C729" s="7"/>
      <c r="E729" s="8"/>
      <c r="F729" s="8"/>
    </row>
    <row r="730" spans="2:6" ht="14.25" customHeight="1" x14ac:dyDescent="0.25">
      <c r="B730" s="6"/>
      <c r="C730" s="7"/>
      <c r="E730" s="8"/>
      <c r="F730" s="8"/>
    </row>
    <row r="731" spans="2:6" ht="14.25" customHeight="1" x14ac:dyDescent="0.25">
      <c r="B731" s="6"/>
      <c r="C731" s="7"/>
      <c r="E731" s="8"/>
      <c r="F731" s="8"/>
    </row>
    <row r="732" spans="2:6" ht="14.25" customHeight="1" x14ac:dyDescent="0.25">
      <c r="B732" s="6"/>
      <c r="C732" s="7"/>
      <c r="E732" s="8"/>
      <c r="F732" s="8"/>
    </row>
    <row r="733" spans="2:6" ht="14.25" customHeight="1" x14ac:dyDescent="0.25">
      <c r="B733" s="6"/>
      <c r="C733" s="7"/>
      <c r="E733" s="8"/>
      <c r="F733" s="8"/>
    </row>
    <row r="734" spans="2:6" ht="14.25" customHeight="1" x14ac:dyDescent="0.25">
      <c r="B734" s="6"/>
      <c r="C734" s="7"/>
      <c r="E734" s="8"/>
      <c r="F734" s="8"/>
    </row>
    <row r="735" spans="2:6" ht="14.25" customHeight="1" x14ac:dyDescent="0.25">
      <c r="B735" s="6"/>
      <c r="C735" s="7"/>
      <c r="E735" s="8"/>
      <c r="F735" s="8"/>
    </row>
    <row r="736" spans="2:6" ht="14.25" customHeight="1" x14ac:dyDescent="0.25">
      <c r="B736" s="6"/>
      <c r="C736" s="7"/>
      <c r="E736" s="8"/>
      <c r="F736" s="8"/>
    </row>
    <row r="737" spans="2:6" ht="14.25" customHeight="1" x14ac:dyDescent="0.25">
      <c r="B737" s="6"/>
      <c r="C737" s="7"/>
      <c r="E737" s="8"/>
      <c r="F737" s="8"/>
    </row>
    <row r="738" spans="2:6" ht="14.25" customHeight="1" x14ac:dyDescent="0.25">
      <c r="B738" s="6"/>
      <c r="C738" s="7"/>
      <c r="E738" s="8"/>
      <c r="F738" s="8"/>
    </row>
    <row r="739" spans="2:6" ht="14.25" customHeight="1" x14ac:dyDescent="0.25">
      <c r="B739" s="6"/>
      <c r="C739" s="7"/>
      <c r="E739" s="8"/>
      <c r="F739" s="8"/>
    </row>
    <row r="740" spans="2:6" ht="14.25" customHeight="1" x14ac:dyDescent="0.25">
      <c r="B740" s="6"/>
      <c r="C740" s="7"/>
      <c r="E740" s="8"/>
      <c r="F740" s="8"/>
    </row>
    <row r="741" spans="2:6" ht="14.25" customHeight="1" x14ac:dyDescent="0.25">
      <c r="B741" s="6"/>
      <c r="C741" s="7"/>
      <c r="E741" s="8"/>
      <c r="F741" s="8"/>
    </row>
    <row r="742" spans="2:6" ht="14.25" customHeight="1" x14ac:dyDescent="0.25">
      <c r="B742" s="6"/>
      <c r="C742" s="7"/>
      <c r="E742" s="8"/>
      <c r="F742" s="8"/>
    </row>
    <row r="743" spans="2:6" ht="14.25" customHeight="1" x14ac:dyDescent="0.25">
      <c r="B743" s="6"/>
      <c r="C743" s="7"/>
      <c r="E743" s="8"/>
      <c r="F743" s="8"/>
    </row>
    <row r="744" spans="2:6" ht="14.25" customHeight="1" x14ac:dyDescent="0.25">
      <c r="B744" s="6"/>
      <c r="C744" s="7"/>
      <c r="E744" s="8"/>
      <c r="F744" s="8"/>
    </row>
    <row r="745" spans="2:6" ht="14.25" customHeight="1" x14ac:dyDescent="0.25">
      <c r="B745" s="6"/>
      <c r="C745" s="7"/>
      <c r="E745" s="8"/>
      <c r="F745" s="8"/>
    </row>
    <row r="746" spans="2:6" ht="14.25" customHeight="1" x14ac:dyDescent="0.25">
      <c r="B746" s="6"/>
      <c r="C746" s="7"/>
      <c r="E746" s="8"/>
      <c r="F746" s="8"/>
    </row>
    <row r="747" spans="2:6" ht="14.25" customHeight="1" x14ac:dyDescent="0.25">
      <c r="B747" s="6"/>
      <c r="C747" s="7"/>
      <c r="E747" s="8"/>
      <c r="F747" s="8"/>
    </row>
    <row r="748" spans="2:6" ht="14.25" customHeight="1" x14ac:dyDescent="0.25">
      <c r="B748" s="6"/>
      <c r="C748" s="7"/>
      <c r="E748" s="8"/>
      <c r="F748" s="8"/>
    </row>
    <row r="749" spans="2:6" ht="14.25" customHeight="1" x14ac:dyDescent="0.25">
      <c r="B749" s="6"/>
      <c r="C749" s="7"/>
      <c r="E749" s="8"/>
      <c r="F749" s="8"/>
    </row>
    <row r="750" spans="2:6" ht="14.25" customHeight="1" x14ac:dyDescent="0.25">
      <c r="B750" s="6"/>
      <c r="C750" s="7"/>
      <c r="E750" s="8"/>
      <c r="F750" s="8"/>
    </row>
    <row r="751" spans="2:6" ht="14.25" customHeight="1" x14ac:dyDescent="0.25">
      <c r="B751" s="6"/>
      <c r="C751" s="7"/>
      <c r="E751" s="8"/>
      <c r="F751" s="8"/>
    </row>
    <row r="752" spans="2:6" ht="14.25" customHeight="1" x14ac:dyDescent="0.25">
      <c r="B752" s="6"/>
      <c r="C752" s="7"/>
      <c r="E752" s="8"/>
      <c r="F752" s="8"/>
    </row>
    <row r="753" spans="2:6" ht="14.25" customHeight="1" x14ac:dyDescent="0.25">
      <c r="B753" s="6"/>
      <c r="C753" s="7"/>
      <c r="E753" s="8"/>
      <c r="F753" s="8"/>
    </row>
    <row r="754" spans="2:6" ht="14.25" customHeight="1" x14ac:dyDescent="0.25">
      <c r="B754" s="6"/>
      <c r="C754" s="7"/>
      <c r="E754" s="8"/>
      <c r="F754" s="8"/>
    </row>
    <row r="755" spans="2:6" ht="14.25" customHeight="1" x14ac:dyDescent="0.25">
      <c r="B755" s="6"/>
      <c r="C755" s="7"/>
      <c r="E755" s="8"/>
      <c r="F755" s="8"/>
    </row>
    <row r="756" spans="2:6" ht="14.25" customHeight="1" x14ac:dyDescent="0.25">
      <c r="B756" s="6"/>
      <c r="C756" s="7"/>
      <c r="E756" s="8"/>
      <c r="F756" s="8"/>
    </row>
    <row r="757" spans="2:6" ht="14.25" customHeight="1" x14ac:dyDescent="0.25">
      <c r="B757" s="6"/>
      <c r="C757" s="7"/>
      <c r="E757" s="8"/>
      <c r="F757" s="8"/>
    </row>
    <row r="758" spans="2:6" ht="14.25" customHeight="1" x14ac:dyDescent="0.25">
      <c r="B758" s="6"/>
      <c r="C758" s="7"/>
      <c r="E758" s="8"/>
      <c r="F758" s="8"/>
    </row>
    <row r="759" spans="2:6" ht="14.25" customHeight="1" x14ac:dyDescent="0.25">
      <c r="B759" s="6"/>
      <c r="C759" s="7"/>
      <c r="E759" s="8"/>
      <c r="F759" s="8"/>
    </row>
    <row r="760" spans="2:6" ht="14.25" customHeight="1" x14ac:dyDescent="0.25">
      <c r="B760" s="6"/>
      <c r="C760" s="7"/>
      <c r="E760" s="8"/>
      <c r="F760" s="8"/>
    </row>
    <row r="761" spans="2:6" ht="14.25" customHeight="1" x14ac:dyDescent="0.25">
      <c r="B761" s="6"/>
      <c r="C761" s="7"/>
      <c r="E761" s="8"/>
      <c r="F761" s="8"/>
    </row>
    <row r="762" spans="2:6" ht="14.25" customHeight="1" x14ac:dyDescent="0.25">
      <c r="B762" s="6"/>
      <c r="C762" s="7"/>
      <c r="E762" s="8"/>
      <c r="F762" s="8"/>
    </row>
    <row r="763" spans="2:6" ht="14.25" customHeight="1" x14ac:dyDescent="0.25">
      <c r="B763" s="6"/>
      <c r="C763" s="7"/>
      <c r="E763" s="8"/>
      <c r="F763" s="8"/>
    </row>
    <row r="764" spans="2:6" ht="14.25" customHeight="1" x14ac:dyDescent="0.25">
      <c r="B764" s="6"/>
      <c r="C764" s="7"/>
      <c r="E764" s="8"/>
      <c r="F764" s="8"/>
    </row>
    <row r="765" spans="2:6" ht="14.25" customHeight="1" x14ac:dyDescent="0.25">
      <c r="B765" s="6"/>
      <c r="C765" s="7"/>
      <c r="E765" s="8"/>
      <c r="F765" s="8"/>
    </row>
    <row r="766" spans="2:6" ht="14.25" customHeight="1" x14ac:dyDescent="0.25">
      <c r="B766" s="6"/>
      <c r="C766" s="7"/>
      <c r="E766" s="8"/>
      <c r="F766" s="8"/>
    </row>
    <row r="767" spans="2:6" ht="14.25" customHeight="1" x14ac:dyDescent="0.25">
      <c r="B767" s="6"/>
      <c r="C767" s="7"/>
      <c r="E767" s="8"/>
      <c r="F767" s="8"/>
    </row>
    <row r="768" spans="2:6" ht="14.25" customHeight="1" x14ac:dyDescent="0.25">
      <c r="B768" s="6"/>
      <c r="C768" s="7"/>
      <c r="E768" s="8"/>
      <c r="F768" s="8"/>
    </row>
    <row r="769" spans="2:6" ht="14.25" customHeight="1" x14ac:dyDescent="0.25">
      <c r="B769" s="6"/>
      <c r="C769" s="7"/>
      <c r="E769" s="8"/>
      <c r="F769" s="8"/>
    </row>
    <row r="770" spans="2:6" ht="14.25" customHeight="1" x14ac:dyDescent="0.25">
      <c r="B770" s="6"/>
      <c r="C770" s="7"/>
      <c r="E770" s="8"/>
      <c r="F770" s="8"/>
    </row>
    <row r="771" spans="2:6" ht="14.25" customHeight="1" x14ac:dyDescent="0.25">
      <c r="B771" s="6"/>
      <c r="C771" s="7"/>
      <c r="E771" s="8"/>
      <c r="F771" s="8"/>
    </row>
    <row r="772" spans="2:6" ht="14.25" customHeight="1" x14ac:dyDescent="0.25">
      <c r="B772" s="6"/>
      <c r="C772" s="7"/>
      <c r="E772" s="8"/>
      <c r="F772" s="8"/>
    </row>
    <row r="773" spans="2:6" ht="14.25" customHeight="1" x14ac:dyDescent="0.25">
      <c r="B773" s="6"/>
      <c r="C773" s="7"/>
      <c r="E773" s="8"/>
      <c r="F773" s="8"/>
    </row>
    <row r="774" spans="2:6" ht="14.25" customHeight="1" x14ac:dyDescent="0.25">
      <c r="B774" s="6"/>
      <c r="C774" s="7"/>
      <c r="E774" s="8"/>
      <c r="F774" s="8"/>
    </row>
    <row r="775" spans="2:6" ht="14.25" customHeight="1" x14ac:dyDescent="0.25">
      <c r="B775" s="6"/>
      <c r="C775" s="7"/>
      <c r="E775" s="8"/>
      <c r="F775" s="8"/>
    </row>
    <row r="776" spans="2:6" ht="14.25" customHeight="1" x14ac:dyDescent="0.25">
      <c r="B776" s="6"/>
      <c r="C776" s="7"/>
      <c r="E776" s="8"/>
      <c r="F776" s="8"/>
    </row>
    <row r="777" spans="2:6" ht="14.25" customHeight="1" x14ac:dyDescent="0.25">
      <c r="B777" s="6"/>
      <c r="C777" s="7"/>
      <c r="E777" s="8"/>
      <c r="F777" s="8"/>
    </row>
    <row r="778" spans="2:6" ht="14.25" customHeight="1" x14ac:dyDescent="0.25">
      <c r="B778" s="6"/>
      <c r="C778" s="7"/>
      <c r="E778" s="8"/>
      <c r="F778" s="8"/>
    </row>
    <row r="779" spans="2:6" ht="14.25" customHeight="1" x14ac:dyDescent="0.25">
      <c r="B779" s="6"/>
      <c r="C779" s="7"/>
      <c r="E779" s="8"/>
      <c r="F779" s="8"/>
    </row>
    <row r="780" spans="2:6" ht="14.25" customHeight="1" x14ac:dyDescent="0.25">
      <c r="B780" s="6"/>
      <c r="C780" s="7"/>
      <c r="E780" s="8"/>
      <c r="F780" s="8"/>
    </row>
    <row r="781" spans="2:6" ht="14.25" customHeight="1" x14ac:dyDescent="0.25">
      <c r="B781" s="6"/>
      <c r="C781" s="7"/>
      <c r="E781" s="8"/>
      <c r="F781" s="8"/>
    </row>
    <row r="782" spans="2:6" ht="14.25" customHeight="1" x14ac:dyDescent="0.25">
      <c r="B782" s="6"/>
      <c r="C782" s="7"/>
      <c r="E782" s="8"/>
      <c r="F782" s="8"/>
    </row>
    <row r="783" spans="2:6" ht="14.25" customHeight="1" x14ac:dyDescent="0.25">
      <c r="B783" s="6"/>
      <c r="C783" s="7"/>
      <c r="E783" s="8"/>
      <c r="F783" s="8"/>
    </row>
    <row r="784" spans="2:6" ht="14.25" customHeight="1" x14ac:dyDescent="0.25">
      <c r="B784" s="6"/>
      <c r="C784" s="7"/>
      <c r="E784" s="8"/>
      <c r="F784" s="8"/>
    </row>
    <row r="785" spans="2:6" ht="14.25" customHeight="1" x14ac:dyDescent="0.25">
      <c r="B785" s="6"/>
      <c r="C785" s="7"/>
      <c r="E785" s="8"/>
      <c r="F785" s="8"/>
    </row>
    <row r="786" spans="2:6" ht="14.25" customHeight="1" x14ac:dyDescent="0.25">
      <c r="B786" s="6"/>
      <c r="C786" s="7"/>
      <c r="E786" s="8"/>
      <c r="F786" s="8"/>
    </row>
    <row r="787" spans="2:6" ht="14.25" customHeight="1" x14ac:dyDescent="0.25">
      <c r="B787" s="6"/>
      <c r="C787" s="7"/>
      <c r="E787" s="8"/>
      <c r="F787" s="8"/>
    </row>
    <row r="788" spans="2:6" ht="14.25" customHeight="1" x14ac:dyDescent="0.25">
      <c r="B788" s="6"/>
      <c r="C788" s="7"/>
      <c r="E788" s="8"/>
      <c r="F788" s="8"/>
    </row>
    <row r="789" spans="2:6" ht="14.25" customHeight="1" x14ac:dyDescent="0.25">
      <c r="B789" s="6"/>
      <c r="C789" s="7"/>
      <c r="E789" s="8"/>
      <c r="F789" s="8"/>
    </row>
    <row r="790" spans="2:6" ht="14.25" customHeight="1" x14ac:dyDescent="0.25">
      <c r="B790" s="6"/>
      <c r="C790" s="7"/>
      <c r="E790" s="8"/>
      <c r="F790" s="8"/>
    </row>
    <row r="791" spans="2:6" ht="14.25" customHeight="1" x14ac:dyDescent="0.25">
      <c r="B791" s="6"/>
      <c r="C791" s="7"/>
      <c r="E791" s="8"/>
      <c r="F791" s="8"/>
    </row>
    <row r="792" spans="2:6" ht="14.25" customHeight="1" x14ac:dyDescent="0.25">
      <c r="B792" s="6"/>
      <c r="C792" s="7"/>
      <c r="E792" s="8"/>
      <c r="F792" s="8"/>
    </row>
    <row r="793" spans="2:6" ht="14.25" customHeight="1" x14ac:dyDescent="0.25">
      <c r="B793" s="6"/>
      <c r="C793" s="7"/>
      <c r="E793" s="8"/>
      <c r="F793" s="8"/>
    </row>
    <row r="794" spans="2:6" ht="14.25" customHeight="1" x14ac:dyDescent="0.25">
      <c r="B794" s="6"/>
      <c r="C794" s="7"/>
      <c r="E794" s="8"/>
      <c r="F794" s="8"/>
    </row>
    <row r="795" spans="2:6" ht="14.25" customHeight="1" x14ac:dyDescent="0.25">
      <c r="B795" s="6"/>
      <c r="C795" s="7"/>
      <c r="E795" s="8"/>
      <c r="F795" s="8"/>
    </row>
    <row r="796" spans="2:6" ht="14.25" customHeight="1" x14ac:dyDescent="0.25">
      <c r="B796" s="6"/>
      <c r="C796" s="7"/>
      <c r="E796" s="8"/>
      <c r="F796" s="8"/>
    </row>
    <row r="797" spans="2:6" ht="14.25" customHeight="1" x14ac:dyDescent="0.25">
      <c r="B797" s="6"/>
      <c r="C797" s="7"/>
      <c r="E797" s="8"/>
      <c r="F797" s="8"/>
    </row>
    <row r="798" spans="2:6" ht="14.25" customHeight="1" x14ac:dyDescent="0.25">
      <c r="B798" s="6"/>
      <c r="C798" s="7"/>
      <c r="E798" s="8"/>
      <c r="F798" s="8"/>
    </row>
    <row r="799" spans="2:6" ht="14.25" customHeight="1" x14ac:dyDescent="0.25">
      <c r="B799" s="6"/>
      <c r="C799" s="7"/>
      <c r="E799" s="8"/>
      <c r="F799" s="8"/>
    </row>
    <row r="800" spans="2:6" ht="14.25" customHeight="1" x14ac:dyDescent="0.25">
      <c r="B800" s="6"/>
      <c r="C800" s="7"/>
      <c r="E800" s="8"/>
      <c r="F800" s="8"/>
    </row>
    <row r="801" spans="2:6" ht="14.25" customHeight="1" x14ac:dyDescent="0.25">
      <c r="B801" s="6"/>
      <c r="C801" s="7"/>
      <c r="E801" s="8"/>
      <c r="F801" s="8"/>
    </row>
    <row r="802" spans="2:6" ht="14.25" customHeight="1" x14ac:dyDescent="0.25">
      <c r="B802" s="6"/>
      <c r="C802" s="7"/>
      <c r="E802" s="8"/>
      <c r="F802" s="8"/>
    </row>
    <row r="803" spans="2:6" ht="14.25" customHeight="1" x14ac:dyDescent="0.25">
      <c r="B803" s="6"/>
      <c r="C803" s="7"/>
      <c r="E803" s="8"/>
      <c r="F803" s="8"/>
    </row>
    <row r="804" spans="2:6" ht="14.25" customHeight="1" x14ac:dyDescent="0.25">
      <c r="B804" s="6"/>
      <c r="C804" s="7"/>
      <c r="E804" s="8"/>
      <c r="F804" s="8"/>
    </row>
    <row r="805" spans="2:6" ht="14.25" customHeight="1" x14ac:dyDescent="0.25">
      <c r="B805" s="6"/>
      <c r="C805" s="7"/>
      <c r="E805" s="8"/>
      <c r="F805" s="8"/>
    </row>
    <row r="806" spans="2:6" ht="14.25" customHeight="1" x14ac:dyDescent="0.25">
      <c r="B806" s="6"/>
      <c r="C806" s="7"/>
      <c r="E806" s="8"/>
      <c r="F806" s="8"/>
    </row>
    <row r="807" spans="2:6" ht="14.25" customHeight="1" x14ac:dyDescent="0.25">
      <c r="B807" s="6"/>
      <c r="C807" s="7"/>
      <c r="E807" s="8"/>
      <c r="F807" s="8"/>
    </row>
    <row r="808" spans="2:6" ht="14.25" customHeight="1" x14ac:dyDescent="0.25">
      <c r="B808" s="6"/>
      <c r="C808" s="7"/>
      <c r="E808" s="8"/>
      <c r="F808" s="8"/>
    </row>
    <row r="809" spans="2:6" ht="14.25" customHeight="1" x14ac:dyDescent="0.25">
      <c r="B809" s="6"/>
      <c r="C809" s="7"/>
      <c r="E809" s="8"/>
      <c r="F809" s="8"/>
    </row>
    <row r="810" spans="2:6" ht="14.25" customHeight="1" x14ac:dyDescent="0.25">
      <c r="B810" s="6"/>
      <c r="C810" s="7"/>
      <c r="E810" s="8"/>
      <c r="F810" s="8"/>
    </row>
    <row r="811" spans="2:6" ht="14.25" customHeight="1" x14ac:dyDescent="0.25">
      <c r="B811" s="6"/>
      <c r="C811" s="7"/>
      <c r="E811" s="8"/>
      <c r="F811" s="8"/>
    </row>
    <row r="812" spans="2:6" ht="14.25" customHeight="1" x14ac:dyDescent="0.25">
      <c r="B812" s="6"/>
      <c r="C812" s="7"/>
      <c r="E812" s="8"/>
      <c r="F812" s="8"/>
    </row>
    <row r="813" spans="2:6" ht="14.25" customHeight="1" x14ac:dyDescent="0.25">
      <c r="B813" s="6"/>
      <c r="C813" s="7"/>
      <c r="E813" s="8"/>
      <c r="F813" s="8"/>
    </row>
    <row r="814" spans="2:6" ht="14.25" customHeight="1" x14ac:dyDescent="0.25">
      <c r="B814" s="6"/>
      <c r="C814" s="7"/>
      <c r="E814" s="8"/>
      <c r="F814" s="8"/>
    </row>
    <row r="815" spans="2:6" ht="14.25" customHeight="1" x14ac:dyDescent="0.25">
      <c r="B815" s="6"/>
      <c r="C815" s="7"/>
      <c r="E815" s="8"/>
      <c r="F815" s="8"/>
    </row>
    <row r="816" spans="2:6" ht="14.25" customHeight="1" x14ac:dyDescent="0.25">
      <c r="B816" s="6"/>
      <c r="C816" s="7"/>
      <c r="E816" s="8"/>
      <c r="F816" s="8"/>
    </row>
    <row r="817" spans="2:6" ht="14.25" customHeight="1" x14ac:dyDescent="0.25">
      <c r="B817" s="6"/>
      <c r="C817" s="7"/>
      <c r="E817" s="8"/>
      <c r="F817" s="8"/>
    </row>
    <row r="818" spans="2:6" ht="14.25" customHeight="1" x14ac:dyDescent="0.25">
      <c r="B818" s="6"/>
      <c r="C818" s="7"/>
      <c r="E818" s="8"/>
      <c r="F818" s="8"/>
    </row>
    <row r="819" spans="2:6" ht="14.25" customHeight="1" x14ac:dyDescent="0.25">
      <c r="B819" s="6"/>
      <c r="C819" s="7"/>
      <c r="E819" s="8"/>
      <c r="F819" s="8"/>
    </row>
    <row r="820" spans="2:6" ht="14.25" customHeight="1" x14ac:dyDescent="0.25">
      <c r="B820" s="6"/>
      <c r="C820" s="7"/>
      <c r="E820" s="8"/>
      <c r="F820" s="8"/>
    </row>
    <row r="821" spans="2:6" ht="14.25" customHeight="1" x14ac:dyDescent="0.25">
      <c r="B821" s="6"/>
      <c r="C821" s="7"/>
      <c r="E821" s="8"/>
      <c r="F821" s="8"/>
    </row>
    <row r="822" spans="2:6" ht="14.25" customHeight="1" x14ac:dyDescent="0.25">
      <c r="B822" s="6"/>
      <c r="C822" s="7"/>
      <c r="E822" s="8"/>
      <c r="F822" s="8"/>
    </row>
    <row r="823" spans="2:6" ht="14.25" customHeight="1" x14ac:dyDescent="0.25">
      <c r="B823" s="6"/>
      <c r="C823" s="7"/>
      <c r="E823" s="8"/>
      <c r="F823" s="8"/>
    </row>
    <row r="824" spans="2:6" ht="14.25" customHeight="1" x14ac:dyDescent="0.25">
      <c r="B824" s="6"/>
      <c r="C824" s="7"/>
      <c r="E824" s="8"/>
      <c r="F824" s="8"/>
    </row>
    <row r="825" spans="2:6" ht="14.25" customHeight="1" x14ac:dyDescent="0.25">
      <c r="B825" s="6"/>
      <c r="C825" s="7"/>
      <c r="E825" s="8"/>
      <c r="F825" s="8"/>
    </row>
    <row r="826" spans="2:6" ht="14.25" customHeight="1" x14ac:dyDescent="0.25">
      <c r="B826" s="6"/>
      <c r="C826" s="7"/>
      <c r="E826" s="8"/>
      <c r="F826" s="8"/>
    </row>
    <row r="827" spans="2:6" ht="14.25" customHeight="1" x14ac:dyDescent="0.25">
      <c r="B827" s="6"/>
      <c r="C827" s="7"/>
      <c r="E827" s="8"/>
      <c r="F827" s="8"/>
    </row>
    <row r="828" spans="2:6" ht="14.25" customHeight="1" x14ac:dyDescent="0.25">
      <c r="B828" s="6"/>
      <c r="C828" s="7"/>
      <c r="E828" s="8"/>
      <c r="F828" s="8"/>
    </row>
    <row r="829" spans="2:6" ht="14.25" customHeight="1" x14ac:dyDescent="0.25">
      <c r="B829" s="6"/>
      <c r="C829" s="7"/>
      <c r="E829" s="8"/>
      <c r="F829" s="8"/>
    </row>
    <row r="830" spans="2:6" ht="14.25" customHeight="1" x14ac:dyDescent="0.25">
      <c r="B830" s="6"/>
      <c r="C830" s="7"/>
      <c r="E830" s="8"/>
      <c r="F830" s="8"/>
    </row>
    <row r="831" spans="2:6" ht="14.25" customHeight="1" x14ac:dyDescent="0.25">
      <c r="B831" s="6"/>
      <c r="C831" s="7"/>
      <c r="E831" s="8"/>
      <c r="F831" s="8"/>
    </row>
    <row r="832" spans="2:6" ht="14.25" customHeight="1" x14ac:dyDescent="0.25">
      <c r="B832" s="6"/>
      <c r="C832" s="7"/>
      <c r="E832" s="8"/>
      <c r="F832" s="8"/>
    </row>
    <row r="833" spans="2:6" ht="14.25" customHeight="1" x14ac:dyDescent="0.25">
      <c r="B833" s="6"/>
      <c r="C833" s="7"/>
      <c r="E833" s="8"/>
      <c r="F833" s="8"/>
    </row>
    <row r="834" spans="2:6" ht="14.25" customHeight="1" x14ac:dyDescent="0.25">
      <c r="B834" s="6"/>
      <c r="C834" s="7"/>
      <c r="E834" s="8"/>
      <c r="F834" s="8"/>
    </row>
    <row r="835" spans="2:6" ht="14.25" customHeight="1" x14ac:dyDescent="0.25">
      <c r="B835" s="6"/>
      <c r="C835" s="7"/>
      <c r="E835" s="8"/>
      <c r="F835" s="8"/>
    </row>
    <row r="836" spans="2:6" ht="14.25" customHeight="1" x14ac:dyDescent="0.25">
      <c r="B836" s="6"/>
      <c r="C836" s="7"/>
      <c r="E836" s="8"/>
      <c r="F836" s="8"/>
    </row>
    <row r="837" spans="2:6" ht="14.25" customHeight="1" x14ac:dyDescent="0.25">
      <c r="B837" s="6"/>
      <c r="C837" s="7"/>
      <c r="E837" s="8"/>
      <c r="F837" s="8"/>
    </row>
    <row r="838" spans="2:6" ht="14.25" customHeight="1" x14ac:dyDescent="0.25">
      <c r="B838" s="6"/>
      <c r="C838" s="7"/>
      <c r="E838" s="8"/>
      <c r="F838" s="8"/>
    </row>
    <row r="839" spans="2:6" ht="14.25" customHeight="1" x14ac:dyDescent="0.25">
      <c r="B839" s="6"/>
      <c r="C839" s="7"/>
      <c r="E839" s="8"/>
      <c r="F839" s="8"/>
    </row>
    <row r="840" spans="2:6" ht="14.25" customHeight="1" x14ac:dyDescent="0.25">
      <c r="B840" s="6"/>
      <c r="C840" s="7"/>
      <c r="E840" s="8"/>
      <c r="F840" s="8"/>
    </row>
    <row r="841" spans="2:6" ht="14.25" customHeight="1" x14ac:dyDescent="0.25">
      <c r="B841" s="6"/>
      <c r="C841" s="7"/>
      <c r="E841" s="8"/>
      <c r="F841" s="8"/>
    </row>
    <row r="842" spans="2:6" ht="14.25" customHeight="1" x14ac:dyDescent="0.25">
      <c r="B842" s="6"/>
      <c r="C842" s="7"/>
      <c r="E842" s="8"/>
      <c r="F842" s="8"/>
    </row>
    <row r="843" spans="2:6" ht="14.25" customHeight="1" x14ac:dyDescent="0.25">
      <c r="B843" s="6"/>
      <c r="C843" s="7"/>
      <c r="E843" s="8"/>
      <c r="F843" s="8"/>
    </row>
    <row r="844" spans="2:6" ht="14.25" customHeight="1" x14ac:dyDescent="0.25">
      <c r="B844" s="6"/>
      <c r="C844" s="7"/>
      <c r="E844" s="8"/>
      <c r="F844" s="8"/>
    </row>
    <row r="845" spans="2:6" ht="14.25" customHeight="1" x14ac:dyDescent="0.25">
      <c r="B845" s="6"/>
      <c r="C845" s="7"/>
      <c r="E845" s="8"/>
      <c r="F845" s="8"/>
    </row>
    <row r="846" spans="2:6" ht="14.25" customHeight="1" x14ac:dyDescent="0.25">
      <c r="B846" s="6"/>
      <c r="C846" s="7"/>
      <c r="E846" s="8"/>
      <c r="F846" s="8"/>
    </row>
    <row r="847" spans="2:6" ht="14.25" customHeight="1" x14ac:dyDescent="0.25">
      <c r="B847" s="6"/>
      <c r="C847" s="7"/>
      <c r="E847" s="8"/>
      <c r="F847" s="8"/>
    </row>
    <row r="848" spans="2:6" ht="14.25" customHeight="1" x14ac:dyDescent="0.25">
      <c r="B848" s="6"/>
      <c r="C848" s="7"/>
      <c r="E848" s="8"/>
      <c r="F848" s="8"/>
    </row>
    <row r="849" spans="2:6" ht="14.25" customHeight="1" x14ac:dyDescent="0.25">
      <c r="B849" s="6"/>
      <c r="C849" s="7"/>
      <c r="E849" s="8"/>
      <c r="F849" s="8"/>
    </row>
    <row r="850" spans="2:6" ht="14.25" customHeight="1" x14ac:dyDescent="0.25">
      <c r="B850" s="6"/>
      <c r="C850" s="7"/>
      <c r="E850" s="8"/>
      <c r="F850" s="8"/>
    </row>
    <row r="851" spans="2:6" ht="14.25" customHeight="1" x14ac:dyDescent="0.25">
      <c r="B851" s="6"/>
      <c r="C851" s="7"/>
      <c r="E851" s="8"/>
      <c r="F851" s="8"/>
    </row>
    <row r="852" spans="2:6" ht="14.25" customHeight="1" x14ac:dyDescent="0.25">
      <c r="B852" s="6"/>
      <c r="C852" s="7"/>
      <c r="E852" s="8"/>
      <c r="F852" s="8"/>
    </row>
    <row r="853" spans="2:6" ht="14.25" customHeight="1" x14ac:dyDescent="0.25">
      <c r="B853" s="6"/>
      <c r="C853" s="7"/>
      <c r="E853" s="8"/>
      <c r="F853" s="8"/>
    </row>
    <row r="854" spans="2:6" ht="14.25" customHeight="1" x14ac:dyDescent="0.25">
      <c r="B854" s="6"/>
      <c r="C854" s="7"/>
      <c r="E854" s="8"/>
      <c r="F854" s="8"/>
    </row>
    <row r="855" spans="2:6" ht="14.25" customHeight="1" x14ac:dyDescent="0.25">
      <c r="B855" s="6"/>
      <c r="C855" s="7"/>
      <c r="E855" s="8"/>
      <c r="F855" s="8"/>
    </row>
    <row r="856" spans="2:6" ht="14.25" customHeight="1" x14ac:dyDescent="0.25">
      <c r="B856" s="6"/>
      <c r="C856" s="7"/>
      <c r="E856" s="8"/>
      <c r="F856" s="8"/>
    </row>
    <row r="857" spans="2:6" ht="14.25" customHeight="1" x14ac:dyDescent="0.25">
      <c r="B857" s="6"/>
      <c r="C857" s="7"/>
      <c r="E857" s="8"/>
      <c r="F857" s="8"/>
    </row>
    <row r="858" spans="2:6" ht="14.25" customHeight="1" x14ac:dyDescent="0.25">
      <c r="B858" s="6"/>
      <c r="C858" s="7"/>
      <c r="E858" s="8"/>
      <c r="F858" s="8"/>
    </row>
    <row r="859" spans="2:6" ht="14.25" customHeight="1" x14ac:dyDescent="0.25">
      <c r="B859" s="6"/>
      <c r="C859" s="7"/>
      <c r="E859" s="8"/>
      <c r="F859" s="8"/>
    </row>
    <row r="860" spans="2:6" ht="14.25" customHeight="1" x14ac:dyDescent="0.25">
      <c r="B860" s="6"/>
      <c r="C860" s="7"/>
      <c r="E860" s="8"/>
      <c r="F860" s="8"/>
    </row>
    <row r="861" spans="2:6" ht="14.25" customHeight="1" x14ac:dyDescent="0.25">
      <c r="B861" s="6"/>
      <c r="C861" s="7"/>
      <c r="E861" s="8"/>
      <c r="F861" s="8"/>
    </row>
    <row r="862" spans="2:6" ht="14.25" customHeight="1" x14ac:dyDescent="0.25">
      <c r="B862" s="6"/>
      <c r="C862" s="7"/>
      <c r="E862" s="8"/>
      <c r="F862" s="8"/>
    </row>
    <row r="863" spans="2:6" ht="14.25" customHeight="1" x14ac:dyDescent="0.25">
      <c r="B863" s="6"/>
      <c r="C863" s="7"/>
      <c r="E863" s="8"/>
      <c r="F863" s="8"/>
    </row>
    <row r="864" spans="2:6" ht="14.25" customHeight="1" x14ac:dyDescent="0.25">
      <c r="B864" s="6"/>
      <c r="C864" s="7"/>
      <c r="E864" s="8"/>
      <c r="F864" s="8"/>
    </row>
    <row r="865" spans="2:6" ht="14.25" customHeight="1" x14ac:dyDescent="0.25">
      <c r="B865" s="6"/>
      <c r="C865" s="7"/>
      <c r="E865" s="8"/>
      <c r="F865" s="8"/>
    </row>
    <row r="866" spans="2:6" ht="14.25" customHeight="1" x14ac:dyDescent="0.25">
      <c r="B866" s="6"/>
      <c r="C866" s="7"/>
      <c r="E866" s="8"/>
      <c r="F866" s="8"/>
    </row>
    <row r="867" spans="2:6" ht="14.25" customHeight="1" x14ac:dyDescent="0.25">
      <c r="B867" s="6"/>
      <c r="C867" s="7"/>
      <c r="E867" s="8"/>
      <c r="F867" s="8"/>
    </row>
    <row r="868" spans="2:6" ht="14.25" customHeight="1" x14ac:dyDescent="0.25">
      <c r="B868" s="6"/>
      <c r="C868" s="7"/>
      <c r="E868" s="8"/>
      <c r="F868" s="8"/>
    </row>
    <row r="869" spans="2:6" ht="14.25" customHeight="1" x14ac:dyDescent="0.25">
      <c r="B869" s="6"/>
      <c r="C869" s="7"/>
      <c r="E869" s="8"/>
      <c r="F869" s="8"/>
    </row>
    <row r="870" spans="2:6" ht="14.25" customHeight="1" x14ac:dyDescent="0.25">
      <c r="B870" s="6"/>
      <c r="C870" s="7"/>
      <c r="E870" s="8"/>
      <c r="F870" s="8"/>
    </row>
    <row r="871" spans="2:6" ht="14.25" customHeight="1" x14ac:dyDescent="0.25">
      <c r="B871" s="6"/>
      <c r="C871" s="7"/>
      <c r="E871" s="8"/>
      <c r="F871" s="8"/>
    </row>
    <row r="872" spans="2:6" ht="14.25" customHeight="1" x14ac:dyDescent="0.25">
      <c r="B872" s="6"/>
      <c r="C872" s="7"/>
      <c r="E872" s="8"/>
      <c r="F872" s="8"/>
    </row>
    <row r="873" spans="2:6" ht="14.25" customHeight="1" x14ac:dyDescent="0.25">
      <c r="B873" s="6"/>
      <c r="C873" s="7"/>
      <c r="E873" s="8"/>
      <c r="F873" s="8"/>
    </row>
    <row r="874" spans="2:6" ht="14.25" customHeight="1" x14ac:dyDescent="0.25">
      <c r="B874" s="6"/>
      <c r="C874" s="7"/>
      <c r="E874" s="8"/>
      <c r="F874" s="8"/>
    </row>
    <row r="875" spans="2:6" ht="14.25" customHeight="1" x14ac:dyDescent="0.25">
      <c r="B875" s="6"/>
      <c r="C875" s="7"/>
      <c r="E875" s="8"/>
      <c r="F875" s="8"/>
    </row>
    <row r="876" spans="2:6" ht="14.25" customHeight="1" x14ac:dyDescent="0.25">
      <c r="B876" s="6"/>
      <c r="C876" s="7"/>
      <c r="E876" s="8"/>
      <c r="F876" s="8"/>
    </row>
    <row r="877" spans="2:6" ht="14.25" customHeight="1" x14ac:dyDescent="0.25">
      <c r="B877" s="6"/>
      <c r="C877" s="7"/>
      <c r="E877" s="8"/>
      <c r="F877" s="8"/>
    </row>
    <row r="878" spans="2:6" ht="14.25" customHeight="1" x14ac:dyDescent="0.25">
      <c r="B878" s="6"/>
      <c r="C878" s="7"/>
      <c r="E878" s="8"/>
      <c r="F878" s="8"/>
    </row>
    <row r="879" spans="2:6" ht="14.25" customHeight="1" x14ac:dyDescent="0.25">
      <c r="B879" s="6"/>
      <c r="C879" s="7"/>
      <c r="E879" s="8"/>
      <c r="F879" s="8"/>
    </row>
    <row r="880" spans="2:6" ht="14.25" customHeight="1" x14ac:dyDescent="0.25">
      <c r="B880" s="6"/>
      <c r="C880" s="7"/>
      <c r="E880" s="8"/>
      <c r="F880" s="8"/>
    </row>
    <row r="881" spans="2:6" ht="14.25" customHeight="1" x14ac:dyDescent="0.25">
      <c r="B881" s="6"/>
      <c r="C881" s="7"/>
      <c r="E881" s="8"/>
      <c r="F881" s="8"/>
    </row>
    <row r="882" spans="2:6" ht="14.25" customHeight="1" x14ac:dyDescent="0.25">
      <c r="B882" s="6"/>
      <c r="C882" s="7"/>
      <c r="E882" s="8"/>
      <c r="F882" s="8"/>
    </row>
    <row r="883" spans="2:6" ht="14.25" customHeight="1" x14ac:dyDescent="0.25">
      <c r="B883" s="6"/>
      <c r="C883" s="7"/>
      <c r="E883" s="8"/>
      <c r="F883" s="8"/>
    </row>
    <row r="884" spans="2:6" ht="14.25" customHeight="1" x14ac:dyDescent="0.25">
      <c r="B884" s="6"/>
      <c r="C884" s="7"/>
      <c r="E884" s="8"/>
      <c r="F884" s="8"/>
    </row>
    <row r="885" spans="2:6" ht="14.25" customHeight="1" x14ac:dyDescent="0.25">
      <c r="B885" s="6"/>
      <c r="C885" s="7"/>
      <c r="E885" s="8"/>
      <c r="F885" s="8"/>
    </row>
    <row r="886" spans="2:6" ht="14.25" customHeight="1" x14ac:dyDescent="0.25">
      <c r="B886" s="6"/>
      <c r="C886" s="7"/>
      <c r="E886" s="8"/>
      <c r="F886" s="8"/>
    </row>
    <row r="887" spans="2:6" ht="14.25" customHeight="1" x14ac:dyDescent="0.25">
      <c r="B887" s="6"/>
      <c r="C887" s="7"/>
      <c r="E887" s="8"/>
      <c r="F887" s="8"/>
    </row>
    <row r="888" spans="2:6" ht="14.25" customHeight="1" x14ac:dyDescent="0.25">
      <c r="B888" s="6"/>
      <c r="C888" s="7"/>
      <c r="E888" s="8"/>
      <c r="F888" s="8"/>
    </row>
    <row r="889" spans="2:6" ht="14.25" customHeight="1" x14ac:dyDescent="0.25">
      <c r="B889" s="6"/>
      <c r="C889" s="7"/>
      <c r="E889" s="8"/>
      <c r="F889" s="8"/>
    </row>
    <row r="890" spans="2:6" ht="14.25" customHeight="1" x14ac:dyDescent="0.25">
      <c r="B890" s="6"/>
      <c r="C890" s="7"/>
      <c r="E890" s="8"/>
      <c r="F890" s="8"/>
    </row>
    <row r="891" spans="2:6" ht="14.25" customHeight="1" x14ac:dyDescent="0.25">
      <c r="B891" s="6"/>
      <c r="C891" s="7"/>
      <c r="E891" s="8"/>
      <c r="F891" s="8"/>
    </row>
    <row r="892" spans="2:6" ht="14.25" customHeight="1" x14ac:dyDescent="0.25">
      <c r="B892" s="6"/>
      <c r="C892" s="7"/>
      <c r="E892" s="8"/>
      <c r="F892" s="8"/>
    </row>
    <row r="893" spans="2:6" ht="14.25" customHeight="1" x14ac:dyDescent="0.25">
      <c r="B893" s="6"/>
      <c r="C893" s="7"/>
      <c r="E893" s="8"/>
      <c r="F893" s="8"/>
    </row>
    <row r="894" spans="2:6" ht="14.25" customHeight="1" x14ac:dyDescent="0.25">
      <c r="B894" s="6"/>
      <c r="C894" s="7"/>
      <c r="E894" s="8"/>
      <c r="F894" s="8"/>
    </row>
    <row r="895" spans="2:6" ht="14.25" customHeight="1" x14ac:dyDescent="0.25">
      <c r="B895" s="6"/>
      <c r="C895" s="7"/>
      <c r="E895" s="8"/>
      <c r="F895" s="8"/>
    </row>
    <row r="896" spans="2:6" ht="14.25" customHeight="1" x14ac:dyDescent="0.25">
      <c r="B896" s="6"/>
      <c r="C896" s="7"/>
      <c r="E896" s="8"/>
      <c r="F896" s="8"/>
    </row>
    <row r="897" spans="2:6" ht="14.25" customHeight="1" x14ac:dyDescent="0.25">
      <c r="B897" s="6"/>
      <c r="C897" s="7"/>
      <c r="E897" s="8"/>
      <c r="F897" s="8"/>
    </row>
    <row r="898" spans="2:6" ht="14.25" customHeight="1" x14ac:dyDescent="0.25">
      <c r="B898" s="6"/>
      <c r="C898" s="7"/>
      <c r="E898" s="8"/>
      <c r="F898" s="8"/>
    </row>
    <row r="899" spans="2:6" ht="14.25" customHeight="1" x14ac:dyDescent="0.25">
      <c r="B899" s="6"/>
      <c r="C899" s="7"/>
      <c r="E899" s="8"/>
      <c r="F899" s="8"/>
    </row>
    <row r="900" spans="2:6" ht="14.25" customHeight="1" x14ac:dyDescent="0.25">
      <c r="B900" s="6"/>
      <c r="C900" s="7"/>
      <c r="E900" s="8"/>
      <c r="F900" s="8"/>
    </row>
    <row r="901" spans="2:6" ht="14.25" customHeight="1" x14ac:dyDescent="0.25">
      <c r="B901" s="6"/>
      <c r="C901" s="7"/>
      <c r="E901" s="8"/>
      <c r="F901" s="8"/>
    </row>
    <row r="902" spans="2:6" ht="14.25" customHeight="1" x14ac:dyDescent="0.25">
      <c r="B902" s="6"/>
      <c r="C902" s="7"/>
      <c r="E902" s="8"/>
      <c r="F902" s="8"/>
    </row>
    <row r="903" spans="2:6" ht="14.25" customHeight="1" x14ac:dyDescent="0.25">
      <c r="B903" s="6"/>
      <c r="C903" s="7"/>
      <c r="E903" s="8"/>
      <c r="F903" s="8"/>
    </row>
    <row r="904" spans="2:6" ht="14.25" customHeight="1" x14ac:dyDescent="0.25">
      <c r="B904" s="6"/>
      <c r="C904" s="7"/>
      <c r="E904" s="8"/>
      <c r="F904" s="8"/>
    </row>
    <row r="905" spans="2:6" ht="14.25" customHeight="1" x14ac:dyDescent="0.25">
      <c r="B905" s="6"/>
      <c r="C905" s="7"/>
      <c r="E905" s="8"/>
      <c r="F905" s="8"/>
    </row>
    <row r="906" spans="2:6" ht="14.25" customHeight="1" x14ac:dyDescent="0.25">
      <c r="B906" s="6"/>
      <c r="C906" s="7"/>
      <c r="E906" s="8"/>
      <c r="F906" s="8"/>
    </row>
    <row r="907" spans="2:6" ht="14.25" customHeight="1" x14ac:dyDescent="0.25">
      <c r="B907" s="6"/>
      <c r="C907" s="7"/>
      <c r="E907" s="8"/>
      <c r="F907" s="8"/>
    </row>
    <row r="908" spans="2:6" ht="14.25" customHeight="1" x14ac:dyDescent="0.25">
      <c r="B908" s="6"/>
      <c r="C908" s="7"/>
      <c r="E908" s="8"/>
      <c r="F908" s="8"/>
    </row>
    <row r="909" spans="2:6" ht="14.25" customHeight="1" x14ac:dyDescent="0.25">
      <c r="B909" s="6"/>
      <c r="C909" s="7"/>
      <c r="E909" s="8"/>
      <c r="F909" s="8"/>
    </row>
    <row r="910" spans="2:6" ht="14.25" customHeight="1" x14ac:dyDescent="0.25">
      <c r="B910" s="6"/>
      <c r="C910" s="7"/>
      <c r="E910" s="8"/>
      <c r="F910" s="8"/>
    </row>
    <row r="911" spans="2:6" ht="14.25" customHeight="1" x14ac:dyDescent="0.25">
      <c r="B911" s="6"/>
      <c r="C911" s="7"/>
      <c r="E911" s="8"/>
      <c r="F911" s="8"/>
    </row>
    <row r="912" spans="2:6" ht="14.25" customHeight="1" x14ac:dyDescent="0.25">
      <c r="B912" s="6"/>
      <c r="C912" s="7"/>
      <c r="E912" s="8"/>
      <c r="F912" s="8"/>
    </row>
    <row r="913" spans="2:6" ht="14.25" customHeight="1" x14ac:dyDescent="0.25">
      <c r="B913" s="6"/>
      <c r="C913" s="7"/>
      <c r="E913" s="8"/>
      <c r="F913" s="8"/>
    </row>
    <row r="914" spans="2:6" ht="14.25" customHeight="1" x14ac:dyDescent="0.25">
      <c r="B914" s="6"/>
      <c r="C914" s="7"/>
      <c r="E914" s="8"/>
      <c r="F914" s="8"/>
    </row>
    <row r="915" spans="2:6" ht="14.25" customHeight="1" x14ac:dyDescent="0.25">
      <c r="B915" s="6"/>
      <c r="C915" s="7"/>
      <c r="E915" s="8"/>
      <c r="F915" s="8"/>
    </row>
    <row r="916" spans="2:6" ht="14.25" customHeight="1" x14ac:dyDescent="0.25">
      <c r="B916" s="6"/>
      <c r="C916" s="7"/>
      <c r="E916" s="8"/>
      <c r="F916" s="8"/>
    </row>
    <row r="917" spans="2:6" ht="14.25" customHeight="1" x14ac:dyDescent="0.25">
      <c r="B917" s="6"/>
      <c r="C917" s="7"/>
      <c r="E917" s="8"/>
      <c r="F917" s="8"/>
    </row>
    <row r="918" spans="2:6" ht="14.25" customHeight="1" x14ac:dyDescent="0.25">
      <c r="B918" s="6"/>
      <c r="C918" s="7"/>
      <c r="E918" s="8"/>
      <c r="F918" s="8"/>
    </row>
    <row r="919" spans="2:6" ht="14.25" customHeight="1" x14ac:dyDescent="0.25">
      <c r="B919" s="6"/>
      <c r="C919" s="7"/>
      <c r="E919" s="8"/>
      <c r="F919" s="8"/>
    </row>
    <row r="920" spans="2:6" ht="14.25" customHeight="1" x14ac:dyDescent="0.25">
      <c r="B920" s="6"/>
      <c r="C920" s="7"/>
      <c r="E920" s="8"/>
      <c r="F920" s="8"/>
    </row>
    <row r="921" spans="2:6" ht="14.25" customHeight="1" x14ac:dyDescent="0.25">
      <c r="B921" s="6"/>
      <c r="C921" s="7"/>
      <c r="E921" s="8"/>
      <c r="F921" s="8"/>
    </row>
    <row r="922" spans="2:6" ht="14.25" customHeight="1" x14ac:dyDescent="0.25">
      <c r="B922" s="6"/>
      <c r="C922" s="7"/>
      <c r="E922" s="8"/>
      <c r="F922" s="8"/>
    </row>
    <row r="923" spans="2:6" ht="14.25" customHeight="1" x14ac:dyDescent="0.25">
      <c r="B923" s="6"/>
      <c r="C923" s="7"/>
      <c r="E923" s="8"/>
      <c r="F923" s="8"/>
    </row>
    <row r="924" spans="2:6" ht="14.25" customHeight="1" x14ac:dyDescent="0.25">
      <c r="B924" s="6"/>
      <c r="C924" s="7"/>
      <c r="E924" s="8"/>
      <c r="F924" s="8"/>
    </row>
    <row r="925" spans="2:6" ht="14.25" customHeight="1" x14ac:dyDescent="0.25">
      <c r="B925" s="6"/>
      <c r="C925" s="7"/>
      <c r="E925" s="8"/>
      <c r="F925" s="8"/>
    </row>
    <row r="926" spans="2:6" ht="14.25" customHeight="1" x14ac:dyDescent="0.25">
      <c r="B926" s="6"/>
      <c r="C926" s="7"/>
      <c r="E926" s="8"/>
      <c r="F926" s="8"/>
    </row>
    <row r="927" spans="2:6" ht="14.25" customHeight="1" x14ac:dyDescent="0.25">
      <c r="B927" s="6"/>
      <c r="C927" s="7"/>
      <c r="E927" s="8"/>
      <c r="F927" s="8"/>
    </row>
    <row r="928" spans="2:6" ht="14.25" customHeight="1" x14ac:dyDescent="0.25">
      <c r="B928" s="6"/>
      <c r="C928" s="7"/>
      <c r="E928" s="8"/>
      <c r="F928" s="8"/>
    </row>
    <row r="929" spans="2:6" ht="14.25" customHeight="1" x14ac:dyDescent="0.25">
      <c r="B929" s="6"/>
      <c r="C929" s="7"/>
      <c r="E929" s="8"/>
      <c r="F929" s="8"/>
    </row>
    <row r="930" spans="2:6" ht="14.25" customHeight="1" x14ac:dyDescent="0.25">
      <c r="B930" s="6"/>
      <c r="C930" s="7"/>
      <c r="E930" s="8"/>
      <c r="F930" s="8"/>
    </row>
    <row r="931" spans="2:6" ht="14.25" customHeight="1" x14ac:dyDescent="0.25">
      <c r="B931" s="6"/>
      <c r="C931" s="7"/>
      <c r="E931" s="8"/>
      <c r="F931" s="8"/>
    </row>
    <row r="932" spans="2:6" ht="14.25" customHeight="1" x14ac:dyDescent="0.25">
      <c r="B932" s="6"/>
      <c r="C932" s="7"/>
      <c r="E932" s="8"/>
      <c r="F932" s="8"/>
    </row>
    <row r="933" spans="2:6" ht="14.25" customHeight="1" x14ac:dyDescent="0.25">
      <c r="B933" s="6"/>
      <c r="C933" s="7"/>
      <c r="E933" s="8"/>
      <c r="F933" s="8"/>
    </row>
    <row r="934" spans="2:6" ht="14.25" customHeight="1" x14ac:dyDescent="0.25">
      <c r="B934" s="6"/>
      <c r="C934" s="7"/>
      <c r="E934" s="8"/>
      <c r="F934" s="8"/>
    </row>
    <row r="935" spans="2:6" ht="14.25" customHeight="1" x14ac:dyDescent="0.25">
      <c r="B935" s="6"/>
      <c r="C935" s="7"/>
      <c r="E935" s="8"/>
      <c r="F935" s="8"/>
    </row>
    <row r="936" spans="2:6" ht="14.25" customHeight="1" x14ac:dyDescent="0.25">
      <c r="B936" s="6"/>
      <c r="C936" s="7"/>
      <c r="E936" s="8"/>
      <c r="F936" s="8"/>
    </row>
    <row r="937" spans="2:6" ht="14.25" customHeight="1" x14ac:dyDescent="0.25">
      <c r="B937" s="6"/>
      <c r="C937" s="7"/>
      <c r="E937" s="8"/>
      <c r="F937" s="8"/>
    </row>
    <row r="938" spans="2:6" ht="14.25" customHeight="1" x14ac:dyDescent="0.25">
      <c r="B938" s="6"/>
      <c r="C938" s="7"/>
      <c r="E938" s="8"/>
      <c r="F938" s="8"/>
    </row>
    <row r="939" spans="2:6" ht="14.25" customHeight="1" x14ac:dyDescent="0.25">
      <c r="B939" s="6"/>
      <c r="C939" s="7"/>
      <c r="E939" s="8"/>
      <c r="F939" s="8"/>
    </row>
    <row r="940" spans="2:6" ht="14.25" customHeight="1" x14ac:dyDescent="0.25">
      <c r="B940" s="6"/>
      <c r="C940" s="7"/>
      <c r="E940" s="8"/>
      <c r="F940" s="8"/>
    </row>
    <row r="941" spans="2:6" ht="14.25" customHeight="1" x14ac:dyDescent="0.25">
      <c r="B941" s="6"/>
      <c r="C941" s="7"/>
      <c r="E941" s="8"/>
      <c r="F941" s="8"/>
    </row>
    <row r="942" spans="2:6" ht="14.25" customHeight="1" x14ac:dyDescent="0.25">
      <c r="B942" s="6"/>
      <c r="C942" s="7"/>
      <c r="E942" s="8"/>
      <c r="F942" s="8"/>
    </row>
    <row r="943" spans="2:6" ht="14.25" customHeight="1" x14ac:dyDescent="0.25">
      <c r="B943" s="6"/>
      <c r="C943" s="7"/>
      <c r="E943" s="8"/>
      <c r="F943" s="8"/>
    </row>
    <row r="944" spans="2:6" ht="14.25" customHeight="1" x14ac:dyDescent="0.25">
      <c r="B944" s="6"/>
      <c r="C944" s="7"/>
      <c r="E944" s="8"/>
      <c r="F944" s="8"/>
    </row>
    <row r="945" spans="2:6" ht="14.25" customHeight="1" x14ac:dyDescent="0.25">
      <c r="B945" s="6"/>
      <c r="C945" s="7"/>
      <c r="E945" s="8"/>
      <c r="F945" s="8"/>
    </row>
    <row r="946" spans="2:6" ht="14.25" customHeight="1" x14ac:dyDescent="0.25">
      <c r="B946" s="6"/>
      <c r="C946" s="7"/>
      <c r="E946" s="8"/>
      <c r="F946" s="8"/>
    </row>
    <row r="947" spans="2:6" ht="14.25" customHeight="1" x14ac:dyDescent="0.25">
      <c r="B947" s="6"/>
      <c r="C947" s="7"/>
      <c r="E947" s="8"/>
      <c r="F947" s="8"/>
    </row>
    <row r="948" spans="2:6" ht="14.25" customHeight="1" x14ac:dyDescent="0.25">
      <c r="B948" s="6"/>
      <c r="C948" s="7"/>
      <c r="E948" s="8"/>
      <c r="F948" s="8"/>
    </row>
    <row r="949" spans="2:6" ht="14.25" customHeight="1" x14ac:dyDescent="0.25">
      <c r="B949" s="6"/>
      <c r="C949" s="7"/>
      <c r="E949" s="8"/>
      <c r="F949" s="8"/>
    </row>
    <row r="950" spans="2:6" ht="14.25" customHeight="1" x14ac:dyDescent="0.25">
      <c r="B950" s="6"/>
      <c r="C950" s="7"/>
      <c r="E950" s="8"/>
      <c r="F950" s="8"/>
    </row>
    <row r="951" spans="2:6" ht="14.25" customHeight="1" x14ac:dyDescent="0.25">
      <c r="B951" s="6"/>
      <c r="C951" s="7"/>
      <c r="E951" s="8"/>
      <c r="F951" s="8"/>
    </row>
    <row r="952" spans="2:6" ht="14.25" customHeight="1" x14ac:dyDescent="0.25">
      <c r="B952" s="6"/>
      <c r="C952" s="7"/>
      <c r="E952" s="8"/>
      <c r="F952" s="8"/>
    </row>
    <row r="953" spans="2:6" ht="14.25" customHeight="1" x14ac:dyDescent="0.25">
      <c r="B953" s="6"/>
      <c r="C953" s="7"/>
      <c r="E953" s="8"/>
      <c r="F953" s="8"/>
    </row>
    <row r="954" spans="2:6" ht="14.25" customHeight="1" x14ac:dyDescent="0.25">
      <c r="B954" s="6"/>
      <c r="C954" s="7"/>
      <c r="E954" s="8"/>
      <c r="F954" s="8"/>
    </row>
    <row r="955" spans="2:6" ht="14.25" customHeight="1" x14ac:dyDescent="0.25">
      <c r="B955" s="6"/>
      <c r="C955" s="7"/>
      <c r="E955" s="8"/>
      <c r="F955" s="8"/>
    </row>
    <row r="956" spans="2:6" ht="14.25" customHeight="1" x14ac:dyDescent="0.25">
      <c r="B956" s="6"/>
      <c r="C956" s="7"/>
      <c r="E956" s="8"/>
      <c r="F956" s="8"/>
    </row>
    <row r="957" spans="2:6" ht="14.25" customHeight="1" x14ac:dyDescent="0.25">
      <c r="B957" s="6"/>
      <c r="C957" s="7"/>
      <c r="E957" s="8"/>
      <c r="F957" s="8"/>
    </row>
    <row r="958" spans="2:6" ht="14.25" customHeight="1" x14ac:dyDescent="0.25">
      <c r="B958" s="6"/>
      <c r="C958" s="7"/>
      <c r="E958" s="8"/>
      <c r="F958" s="8"/>
    </row>
    <row r="959" spans="2:6" ht="14.25" customHeight="1" x14ac:dyDescent="0.25">
      <c r="B959" s="6"/>
      <c r="C959" s="7"/>
      <c r="E959" s="8"/>
      <c r="F959" s="8"/>
    </row>
    <row r="960" spans="2:6" ht="14.25" customHeight="1" x14ac:dyDescent="0.25">
      <c r="B960" s="6"/>
      <c r="C960" s="7"/>
      <c r="E960" s="8"/>
      <c r="F960" s="8"/>
    </row>
    <row r="961" spans="2:6" ht="14.25" customHeight="1" x14ac:dyDescent="0.25">
      <c r="B961" s="6"/>
      <c r="C961" s="7"/>
      <c r="E961" s="8"/>
      <c r="F961" s="8"/>
    </row>
    <row r="962" spans="2:6" ht="14.25" customHeight="1" x14ac:dyDescent="0.25">
      <c r="B962" s="6"/>
      <c r="C962" s="7"/>
      <c r="E962" s="8"/>
      <c r="F962" s="8"/>
    </row>
    <row r="963" spans="2:6" ht="14.25" customHeight="1" x14ac:dyDescent="0.25">
      <c r="B963" s="6"/>
      <c r="C963" s="7"/>
      <c r="E963" s="8"/>
      <c r="F963" s="8"/>
    </row>
    <row r="964" spans="2:6" ht="14.25" customHeight="1" x14ac:dyDescent="0.25">
      <c r="B964" s="6"/>
      <c r="C964" s="7"/>
      <c r="E964" s="8"/>
      <c r="F964" s="8"/>
    </row>
    <row r="965" spans="2:6" ht="14.25" customHeight="1" x14ac:dyDescent="0.25">
      <c r="B965" s="6"/>
      <c r="C965" s="7"/>
      <c r="E965" s="8"/>
      <c r="F965" s="8"/>
    </row>
    <row r="966" spans="2:6" ht="14.25" customHeight="1" x14ac:dyDescent="0.25">
      <c r="B966" s="6"/>
      <c r="C966" s="7"/>
      <c r="E966" s="8"/>
      <c r="F966" s="8"/>
    </row>
    <row r="967" spans="2:6" ht="14.25" customHeight="1" x14ac:dyDescent="0.25">
      <c r="B967" s="6"/>
      <c r="C967" s="7"/>
      <c r="E967" s="8"/>
      <c r="F967" s="8"/>
    </row>
    <row r="968" spans="2:6" ht="14.25" customHeight="1" x14ac:dyDescent="0.25">
      <c r="B968" s="6"/>
      <c r="C968" s="7"/>
      <c r="E968" s="8"/>
      <c r="F968" s="8"/>
    </row>
    <row r="969" spans="2:6" ht="14.25" customHeight="1" x14ac:dyDescent="0.25">
      <c r="B969" s="6"/>
      <c r="C969" s="7"/>
      <c r="E969" s="8"/>
      <c r="F969" s="8"/>
    </row>
    <row r="970" spans="2:6" ht="14.25" customHeight="1" x14ac:dyDescent="0.25">
      <c r="B970" s="6"/>
      <c r="C970" s="7"/>
      <c r="E970" s="8"/>
      <c r="F970" s="8"/>
    </row>
    <row r="971" spans="2:6" ht="14.25" customHeight="1" x14ac:dyDescent="0.25">
      <c r="B971" s="6"/>
      <c r="C971" s="7"/>
      <c r="E971" s="8"/>
      <c r="F971" s="8"/>
    </row>
    <row r="972" spans="2:6" ht="14.25" customHeight="1" x14ac:dyDescent="0.25">
      <c r="B972" s="6"/>
      <c r="C972" s="7"/>
      <c r="E972" s="8"/>
      <c r="F972" s="8"/>
    </row>
    <row r="973" spans="2:6" ht="14.25" customHeight="1" x14ac:dyDescent="0.25">
      <c r="B973" s="6"/>
      <c r="C973" s="7"/>
      <c r="E973" s="8"/>
      <c r="F973" s="8"/>
    </row>
    <row r="974" spans="2:6" ht="14.25" customHeight="1" x14ac:dyDescent="0.25">
      <c r="B974" s="6"/>
      <c r="C974" s="7"/>
      <c r="E974" s="8"/>
      <c r="F974" s="8"/>
    </row>
    <row r="975" spans="2:6" ht="14.25" customHeight="1" x14ac:dyDescent="0.25">
      <c r="B975" s="6"/>
      <c r="C975" s="7"/>
      <c r="E975" s="8"/>
      <c r="F975" s="8"/>
    </row>
    <row r="976" spans="2:6" ht="14.25" customHeight="1" x14ac:dyDescent="0.25">
      <c r="B976" s="6"/>
      <c r="C976" s="7"/>
      <c r="E976" s="8"/>
      <c r="F976" s="8"/>
    </row>
    <row r="977" spans="2:6" ht="14.25" customHeight="1" x14ac:dyDescent="0.25">
      <c r="B977" s="6"/>
      <c r="C977" s="7"/>
      <c r="E977" s="8"/>
      <c r="F977" s="8"/>
    </row>
    <row r="978" spans="2:6" ht="14.25" customHeight="1" x14ac:dyDescent="0.25">
      <c r="B978" s="6"/>
      <c r="C978" s="7"/>
      <c r="E978" s="8"/>
      <c r="F978" s="8"/>
    </row>
    <row r="979" spans="2:6" ht="14.25" customHeight="1" x14ac:dyDescent="0.25">
      <c r="B979" s="6"/>
      <c r="C979" s="7"/>
      <c r="E979" s="8"/>
      <c r="F979" s="8"/>
    </row>
    <row r="980" spans="2:6" ht="14.25" customHeight="1" x14ac:dyDescent="0.25">
      <c r="B980" s="6"/>
      <c r="C980" s="7"/>
      <c r="E980" s="8"/>
      <c r="F980" s="8"/>
    </row>
    <row r="981" spans="2:6" ht="14.25" customHeight="1" x14ac:dyDescent="0.25">
      <c r="B981" s="6"/>
      <c r="C981" s="7"/>
      <c r="E981" s="8"/>
      <c r="F981" s="8"/>
    </row>
    <row r="982" spans="2:6" ht="14.25" customHeight="1" x14ac:dyDescent="0.25">
      <c r="B982" s="6"/>
      <c r="C982" s="7"/>
      <c r="E982" s="8"/>
      <c r="F982" s="8"/>
    </row>
    <row r="983" spans="2:6" ht="14.25" customHeight="1" x14ac:dyDescent="0.25">
      <c r="B983" s="6"/>
      <c r="C983" s="7"/>
      <c r="E983" s="8"/>
      <c r="F983" s="8"/>
    </row>
    <row r="984" spans="2:6" ht="14.25" customHeight="1" x14ac:dyDescent="0.25">
      <c r="B984" s="6"/>
      <c r="C984" s="7"/>
      <c r="E984" s="8"/>
      <c r="F984" s="8"/>
    </row>
    <row r="985" spans="2:6" ht="14.25" customHeight="1" x14ac:dyDescent="0.25">
      <c r="B985" s="6"/>
      <c r="C985" s="7"/>
      <c r="E985" s="8"/>
      <c r="F985" s="8"/>
    </row>
    <row r="986" spans="2:6" ht="14.25" customHeight="1" x14ac:dyDescent="0.25">
      <c r="B986" s="6"/>
      <c r="C986" s="7"/>
      <c r="E986" s="8"/>
      <c r="F986" s="8"/>
    </row>
    <row r="987" spans="2:6" ht="14.25" customHeight="1" x14ac:dyDescent="0.25">
      <c r="B987" s="6"/>
      <c r="C987" s="7"/>
      <c r="E987" s="8"/>
      <c r="F987" s="8"/>
    </row>
    <row r="988" spans="2:6" ht="14.25" customHeight="1" x14ac:dyDescent="0.25">
      <c r="B988" s="6"/>
      <c r="C988" s="7"/>
      <c r="E988" s="8"/>
      <c r="F988" s="8"/>
    </row>
    <row r="989" spans="2:6" ht="14.25" customHeight="1" x14ac:dyDescent="0.25">
      <c r="B989" s="6"/>
      <c r="C989" s="7"/>
      <c r="E989" s="8"/>
      <c r="F989" s="8"/>
    </row>
    <row r="990" spans="2:6" ht="14.25" customHeight="1" x14ac:dyDescent="0.25">
      <c r="B990" s="6"/>
      <c r="C990" s="7"/>
      <c r="E990" s="8"/>
      <c r="F990" s="8"/>
    </row>
    <row r="991" spans="2:6" ht="14.25" customHeight="1" x14ac:dyDescent="0.25">
      <c r="B991" s="6"/>
      <c r="C991" s="7"/>
      <c r="E991" s="8"/>
      <c r="F991" s="8"/>
    </row>
    <row r="992" spans="2:6" ht="14.25" customHeight="1" x14ac:dyDescent="0.25">
      <c r="B992" s="6"/>
      <c r="C992" s="7"/>
      <c r="E992" s="8"/>
      <c r="F992" s="8"/>
    </row>
    <row r="993" spans="2:6" ht="14.25" customHeight="1" x14ac:dyDescent="0.25">
      <c r="B993" s="6"/>
      <c r="C993" s="7"/>
      <c r="E993" s="8"/>
      <c r="F993" s="8"/>
    </row>
    <row r="994" spans="2:6" ht="14.25" customHeight="1" x14ac:dyDescent="0.25">
      <c r="B994" s="6"/>
      <c r="C994" s="7"/>
      <c r="E994" s="8"/>
      <c r="F994" s="8"/>
    </row>
    <row r="995" spans="2:6" ht="14.25" customHeight="1" x14ac:dyDescent="0.25">
      <c r="B995" s="6"/>
      <c r="C995" s="7"/>
      <c r="E995" s="8"/>
      <c r="F995" s="8"/>
    </row>
    <row r="996" spans="2:6" ht="14.25" customHeight="1" x14ac:dyDescent="0.25">
      <c r="B996" s="6"/>
      <c r="C996" s="7"/>
      <c r="E996" s="8"/>
      <c r="F996" s="8"/>
    </row>
    <row r="997" spans="2:6" ht="14.25" customHeight="1" x14ac:dyDescent="0.25">
      <c r="B997" s="6"/>
      <c r="C997" s="7"/>
      <c r="E997" s="8"/>
      <c r="F997" s="8"/>
    </row>
    <row r="998" spans="2:6" ht="14.25" customHeight="1" x14ac:dyDescent="0.25">
      <c r="B998" s="6"/>
      <c r="C998" s="7"/>
      <c r="E998" s="8"/>
      <c r="F998" s="8"/>
    </row>
    <row r="999" spans="2:6" ht="14.25" customHeight="1" x14ac:dyDescent="0.25">
      <c r="B999" s="6"/>
      <c r="C999" s="7"/>
      <c r="E999" s="8"/>
      <c r="F999" s="8"/>
    </row>
    <row r="1000" spans="2:6" ht="14.25" customHeight="1" x14ac:dyDescent="0.25">
      <c r="B1000" s="6"/>
      <c r="C1000" s="7"/>
      <c r="E1000" s="8"/>
      <c r="F1000" s="8"/>
    </row>
  </sheetData>
  <pageMargins left="0.7" right="0.7" top="0.75" bottom="0.75" header="0" footer="0"/>
  <pageSetup paperSize="9" scale="4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ht="14.25" customHeight="1" x14ac:dyDescent="0.25">
      <c r="A1" t="s">
        <v>24</v>
      </c>
    </row>
    <row r="2" spans="1:1" ht="14.25" customHeight="1" x14ac:dyDescent="0.25"/>
    <row r="3" spans="1:1" ht="14.25" customHeight="1" x14ac:dyDescent="0.25"/>
    <row r="4" spans="1:1" ht="14.25" customHeight="1" x14ac:dyDescent="0.25"/>
    <row r="5" spans="1:1" ht="14.25" customHeight="1" x14ac:dyDescent="0.25"/>
    <row r="6" spans="1:1" ht="14.25" customHeight="1" x14ac:dyDescent="0.25"/>
    <row r="7" spans="1:1" ht="14.25" customHeight="1" x14ac:dyDescent="0.25"/>
    <row r="8" spans="1:1" ht="14.25" customHeight="1" x14ac:dyDescent="0.25"/>
    <row r="9" spans="1:1" ht="14.25" customHeight="1" x14ac:dyDescent="0.25"/>
    <row r="10" spans="1:1" ht="14.25" customHeight="1" x14ac:dyDescent="0.25"/>
    <row r="11" spans="1:1" ht="14.25" customHeight="1" x14ac:dyDescent="0.25"/>
    <row r="12" spans="1:1" ht="14.25" customHeight="1" x14ac:dyDescent="0.25"/>
    <row r="13" spans="1:1" ht="14.25" customHeight="1" x14ac:dyDescent="0.25"/>
    <row r="14" spans="1:1" ht="14.25" customHeight="1" x14ac:dyDescent="0.25"/>
    <row r="15" spans="1:1" ht="14.25" customHeight="1" x14ac:dyDescent="0.25"/>
    <row r="16" spans="1: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TaxesOwed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Solomon ifejesu</cp:lastModifiedBy>
  <cp:lastPrinted>2026-02-19T19:52:57Z</cp:lastPrinted>
  <dcterms:created xsi:type="dcterms:W3CDTF">2022-07-03T02:12:21Z</dcterms:created>
  <dcterms:modified xsi:type="dcterms:W3CDTF">2026-02-19T19:59:50Z</dcterms:modified>
</cp:coreProperties>
</file>